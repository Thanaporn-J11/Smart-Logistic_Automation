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isan\OneDrive\Documents\"/>
    </mc:Choice>
  </mc:AlternateContent>
  <xr:revisionPtr revIDLastSave="0" documentId="13_ncr:1_{76260B3B-7897-49BB-A98C-9C3AC31311F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Test U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6SIGx0fcC/OV0WJIiBUAUx+JQ6Kh7e8uYfT7U1XbN9o="/>
    </ext>
  </extLst>
</workbook>
</file>

<file path=xl/calcChain.xml><?xml version="1.0" encoding="utf-8"?>
<calcChain xmlns="http://schemas.openxmlformats.org/spreadsheetml/2006/main">
  <c r="I5" i="1" l="1" a="1"/>
  <c r="I5" i="1" s="1"/>
  <c r="I3" i="1" a="1"/>
  <c r="I3" i="1" s="1"/>
  <c r="I2" i="1" a="1"/>
  <c r="I2" i="1" s="1"/>
  <c r="I1" i="1" a="1"/>
  <c r="I1" i="1" s="1"/>
</calcChain>
</file>

<file path=xl/sharedStrings.xml><?xml version="1.0" encoding="utf-8"?>
<sst xmlns="http://schemas.openxmlformats.org/spreadsheetml/2006/main" count="618" uniqueCount="338">
  <si>
    <t>Project name</t>
  </si>
  <si>
    <t>Pass</t>
  </si>
  <si>
    <t>Created by</t>
  </si>
  <si>
    <t>Fail</t>
  </si>
  <si>
    <t>Environment</t>
  </si>
  <si>
    <t>Chrome 128.0.6613.85 (Windows)</t>
  </si>
  <si>
    <t>Execute</t>
  </si>
  <si>
    <t>Url</t>
  </si>
  <si>
    <t>Total</t>
  </si>
  <si>
    <t>Test case ID</t>
  </si>
  <si>
    <t>Section</t>
  </si>
  <si>
    <t>Function</t>
  </si>
  <si>
    <t>Desc</t>
  </si>
  <si>
    <t>P/N</t>
  </si>
  <si>
    <t>Data Test</t>
  </si>
  <si>
    <t>Test Step</t>
  </si>
  <si>
    <t>Expected Result</t>
  </si>
  <si>
    <t>Status</t>
  </si>
  <si>
    <t>Date</t>
  </si>
  <si>
    <t>Remark</t>
  </si>
  <si>
    <t>TC-001</t>
  </si>
  <si>
    <t>P</t>
  </si>
  <si>
    <t>TC-002</t>
  </si>
  <si>
    <t>N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</si>
  <si>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</si>
  <si>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</si>
  <si>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</si>
  <si>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</si>
  <si>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</si>
  <si>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</si>
  <si>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</si>
  <si>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</si>
  <si>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</si>
  <si>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</si>
  <si>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</si>
  <si>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</si>
  <si>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</si>
  <si>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</si>
  <si>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</si>
  <si>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</si>
  <si>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</si>
  <si>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</si>
  <si>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</si>
  <si>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</si>
  <si>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</si>
  <si>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</si>
  <si>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</si>
  <si>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</si>
  <si>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</si>
  <si>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</si>
  <si>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</si>
  <si>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ธนาพร ใจธรรม</t>
  </si>
  <si>
    <t>Smart Logistic</t>
  </si>
  <si>
    <t>เข้าสู่ระบบ</t>
  </si>
  <si>
    <t>หน้าเข้าสู่ระบบ</t>
  </si>
  <si>
    <t>ช่องป้อนข้อมูล</t>
  </si>
  <si>
    <t>ตรวจสอบ password ผิด</t>
  </si>
  <si>
    <t>ไม่กรอก username</t>
  </si>
  <si>
    <t>ไม่กรอก password</t>
  </si>
  <si>
    <t>ไม่กรอกข้อมูลทั้งสองช่อง</t>
  </si>
  <si>
    <t>ตรวจสอบช่อง username</t>
  </si>
  <si>
    <t>refresh หน้า</t>
  </si>
  <si>
    <t>ออกจากระบบ</t>
  </si>
  <si>
    <t>Session</t>
  </si>
  <si>
    <t>Input Field</t>
  </si>
  <si>
    <t>Login UI</t>
  </si>
  <si>
    <t>username : admin
password : 1234</t>
  </si>
  <si>
    <t>username : admin
password : 1111</t>
  </si>
  <si>
    <t>username :
password : 1234</t>
  </si>
  <si>
    <t>1. เปิดหน้า login
2. กรอก username
3. กรอก password ผิด
4. กด เข้าสู่ระบบ</t>
  </si>
  <si>
    <t>1. เปิดหน้า login
2. กรอก username
3. กรอก password
4. กด เข้าสู่ระบบ</t>
  </si>
  <si>
    <t>1. เปิดหน้า login
2. ไม่กรอก username
3. กรอก password
4. กด เข้าสู่ระบบ</t>
  </si>
  <si>
    <t>username : admin
password :</t>
  </si>
  <si>
    <t>1. เปิดหน้า login
2. กรอก username
3. ไม่กรอก password
4. กด เข้าสู่ระบบ</t>
  </si>
  <si>
    <t>username :
password :</t>
  </si>
  <si>
    <t>1. เปิดหน้า login
2. ไม่กรอก username
3. ไม่กรอก password
4. กด เข้าสู่ระบบ</t>
  </si>
  <si>
    <t>-</t>
  </si>
  <si>
    <t>1. กด ออกจากระบบ</t>
  </si>
  <si>
    <t>สามารถพิมพ์ข้อมูลได้</t>
  </si>
  <si>
    <t>กลับหน้า login</t>
  </si>
  <si>
    <t>ระบบแจ้งชื่อผู้ใช้หรือรหัสผ่านไม่ถูกต้อง</t>
  </si>
  <si>
    <t>1. คลิกช่อง username</t>
  </si>
  <si>
    <t xml:space="preserve">3/14/2026, 
00:20 AM </t>
  </si>
  <si>
    <t>ฟังก์ชันเข้าสู่ระบบ</t>
  </si>
  <si>
    <t>ฟังก์ชันเช็คพัสดุ</t>
  </si>
  <si>
    <t>หน้าตรวจสอบสถานะพัสดุ</t>
  </si>
  <si>
    <t>ค้นหาพัสดุ</t>
  </si>
  <si>
    <t>Input Validation</t>
  </si>
  <si>
    <t>Button</t>
  </si>
  <si>
    <t>Format</t>
  </si>
  <si>
    <t>UI Display</t>
  </si>
  <si>
    <t>Performance</t>
  </si>
  <si>
    <t>Responsive</t>
  </si>
  <si>
    <t>Refresh</t>
  </si>
  <si>
    <t>ตรวจสอบปุ่มค้นหาพัสดุ</t>
  </si>
  <si>
    <t>ตรวจสอบการแสดงผลสถานะ</t>
  </si>
  <si>
    <t>ตรวจสอบเวลาการค้นหา</t>
  </si>
  <si>
    <t>ตรวจสอบการแสดงผลหน้าเว็บ</t>
  </si>
  <si>
    <t>1. คลิกช่อง input
2. กรอก Tracking</t>
  </si>
  <si>
    <t>UI ไม่ผิดรูป</t>
  </si>
  <si>
    <t>สามารถพิมพ์ได้</t>
  </si>
  <si>
    <t>ระบบแสดงสถานะพัสดุ</t>
  </si>
  <si>
    <t>1. เปิดหน้าเช็คพัสดุ 
2. กรอกหมายเลข Tracking 
3. กดค้นหาพัสดุ</t>
  </si>
  <si>
    <t>1. เปิดหน้าเช็คพัสดุ 
2. กรอกหมายเลข Tracking ที่ไม่มีในระบบ
3. กดค้นหาพัสดุ</t>
  </si>
  <si>
    <t>1. เปิดหน้าเช็คพัสดุ 
2. ไม่กรอกหมายเลข Tracking
3. กดค้นหาพัสดุ</t>
  </si>
  <si>
    <t>1. เปิดหน้าเช็คพัสดุ 
2. กรอกหมายเลข Tracking รูปแบบผิด
3. กดค้นหาพัสดุ</t>
  </si>
  <si>
    <t>1. เปิดหน้าเว็บ</t>
  </si>
  <si>
    <t>1. เปิดหน้าเช็คพัสดุ 
2. กรอกหมายเลข Tracking 
3. กดค้นหาพัสดุ
4. กด refresh</t>
  </si>
  <si>
    <t>ค้นหาพัสดุด้วยหมายเลข Tracking ถูกต้อง</t>
  </si>
  <si>
    <t>ค้นหาพัสดุด้วยหมายเลข Tracking ที่ไม่มีในระบบ</t>
  </si>
  <si>
    <t>ไม่กรอกหมายเลข Tracking</t>
  </si>
  <si>
    <t>ตรวจสอบการพิมพ์หมายเลข Tracking</t>
  </si>
  <si>
    <t>กรอกหมายเลข Tracking รูปแบบผิด</t>
  </si>
  <si>
    <t>refresh หน้าหลังค้นหา</t>
  </si>
  <si>
    <t>T715479</t>
  </si>
  <si>
    <t>ปุ่มทำงานและค้นหาพัสดุได้</t>
  </si>
  <si>
    <t>แสดงสถานะ เข้ารับพัสดุแล้ว</t>
  </si>
  <si>
    <t>หน้าเว็บกลับไปหน้าแรก</t>
  </si>
  <si>
    <t xml:space="preserve">3/14/2026, 
01:22 AM </t>
  </si>
  <si>
    <t>หมายเลข Tracking : T715479</t>
  </si>
  <si>
    <t>หมายเลข Tracking : T715480</t>
  </si>
  <si>
    <t>หมายเลข Tracking : ABCDEFG</t>
  </si>
  <si>
    <t>TC-030</t>
  </si>
  <si>
    <t>หน้าคำนวณค่าจัดส่ง</t>
  </si>
  <si>
    <t>คำนวณราคา</t>
  </si>
  <si>
    <t>Validation</t>
  </si>
  <si>
    <t>Input</t>
  </si>
  <si>
    <t>คำนวณราคาค่าจัดส่งด้วยข้อมูลที่ถูกต้อง</t>
  </si>
  <si>
    <t>ไม่กรอกจังหวัดต้นทาง</t>
  </si>
  <si>
    <t>ไม่กรอกจังหวัดปลายทาง</t>
  </si>
  <si>
    <t>ไม่กรอกน้ำหนักพัสดุ</t>
  </si>
  <si>
    <t>ไม่เลือกขนาดพัสดุ</t>
  </si>
  <si>
    <t>กรอกน้ำหนักเป็นตัวอักษร</t>
  </si>
  <si>
    <t>กรอกน้ำหนักติดลบ</t>
  </si>
  <si>
    <t>น้ำหนักมากขึ้นราคาควรเพิ่ม</t>
  </si>
  <si>
    <t>ตรวจสอบปุ่มคำนวณราคา</t>
  </si>
  <si>
    <t>ตรวจสอบระยะเวลาการคำนวณ</t>
  </si>
  <si>
    <t>จังหวัดต้นทาง : กรุงเทพมหานคร
จังหวัดปลายทาง : เชียงใหม่
น้ำหนัก : 1.5
ขนาดพัสดุ : กลาง (M)</t>
  </si>
  <si>
    <t>จังหวัดต้นทาง :
จังหวัดปลายทาง : เชียงใหม่
น้ำหนัก : 1.5
ขนาดพัสดุ : กลาง (M)</t>
  </si>
  <si>
    <t>จังหวัดต้นทาง : กรุงเทพมหานคร
จังหวัดปลายทาง : 
น้ำหนัก : 1.5
ขนาดพัสดุ : กลาง (M)</t>
  </si>
  <si>
    <t>จังหวัดต้นทาง : กรุงเทพมหานคร
จังหวัดปลายทาง : เชียงใหม่
น้ำหนัก : 
ขนาดพัสดุ : กลาง (M)</t>
  </si>
  <si>
    <t xml:space="preserve">จังหวัดต้นทาง : กรุงเทพมหานคร
จังหวัดปลายทาง : เชียงใหม่
น้ำหนัก : 1.5
ขนาดพัสดุ : </t>
  </si>
  <si>
    <t>จังหวัดต้นทาง : กรุงเทพมหานคร
จังหวัดปลายทาง : เชียงใหม่
น้ำหนัก : ABC
ขนาดพัสดุ : กลาง (M)</t>
  </si>
  <si>
    <t>จังหวัดต้นทาง : กรุงเทพมหานคร
จังหวัดปลายทาง : เชียงใหม่
น้ำหนัก : -1.5
ขนาดพัสดุ : กลาง (M)</t>
  </si>
  <si>
    <t>จังหวัดต้นทาง : กรุงเทพมหานคร
จังหวัดปลายทาง : เชียงใหม่
น้ำหนัก : 2.5
ขนาดพัสดุ : กลาง (M)</t>
  </si>
  <si>
    <t>1. เปิดหน้าเช็คราคาจัดส่ง
2. กรอกจังหวัดต้นทาง
3. กรอกจังหวัดปลายทาง
4. กรอกน้ำหนักพัสดุ
5. ไม่เลือกขนาดพัสดุ
6. กดปุ่มคำนวณราคา</t>
  </si>
  <si>
    <t>1. เปิดหน้าเช็คราคาจัดส่ง
2. กรอกจังหวัดต้นทาง
3. กรอกจังหวัดปลายทาง
4. ไม่กรอกน้ำหนักพัสดุ
5. เลือกขนาดพัสดุ
6. กดปุ่มคำนวณราคา</t>
  </si>
  <si>
    <t>1. เปิดหน้าเช็คราคาจัดส่ง
2. กรอกจังหวัดต้นทาง
3. ไม่กรอกจังหวัดปลายทาง
4. กรอกน้ำหนักพัสดุ
5. เลือกขนาดพัสดุ
6. กดปุ่มคำนวณราคา</t>
  </si>
  <si>
    <t>1. เปิดหน้าเช็คราคาจัดส่ง
2. ไม่กรอกจังหวัดต้นทาง
3. กรอกจังหวัดปลายทาง
4. กรอกน้ำหนักพัสดุ
5. เลือกขนาดพัสดุ
6. กดปุ่มคำนวณราคา</t>
  </si>
  <si>
    <t>1. เปิดหน้าเช็คราคาจัดส่ง
2. กรอกจังหวัดต้นทาง
3. กรอกจังหวัดปลายทาง
4. กรอกน้ำหนักพัสดุ
5. เลือกขนาดพัสดุ
6. กดปุ่มคำนวณราคา</t>
  </si>
  <si>
    <t>1. เปิดหน้าเช็คราคาจัดส่ง
2. กรอกจังหวัดต้นทาง
3. กรอกจังหวัดปลายทาง
4. กรอกน้ำหนักพัสดุเป็นตัวอักษร
5. เลือกขนาดพัสดุ
6. กดปุ่มคำนวณราคา</t>
  </si>
  <si>
    <t>1. เปิดหน้าเช็คราคาจัดส่ง
2. กรอกจังหวัดต้นทาง
3. กรอกจังหวัดปลายทาง
4. กรอกน้ำหนักพัสดุติดลบ
5. เลือกขนาดพัสดุ
6. กดปุ่มคำนวณราคา</t>
  </si>
  <si>
    <t>1. เปิดหน้าเช็คราคาจัดส่ง
2. กรอกจังหวัดต้นทาง
3. กรอกจังหวัดปลายทาง
4. กรอกน้ำหนักพัสดุมากขึ้น
5. เลือกขนาดพัสดุ
6. กดปุ่มคำนวณราคา</t>
  </si>
  <si>
    <t>1. กดปุ่มคำนวณราคา</t>
  </si>
  <si>
    <t>ปุ่มคำนวณราคาทำงาน</t>
  </si>
  <si>
    <t>ระบบแสดงผลภายในระยะเวลาไม่กี่วินาที</t>
  </si>
  <si>
    <t>https://smart-logistic-erp.netlify.app/</t>
  </si>
  <si>
    <t xml:space="preserve">3/14/2026, 
02:33 AM </t>
  </si>
  <si>
    <t>ฟังก์ชันแจ้งปัญหา (Smart Bot)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</si>
  <si>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</si>
  <si>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</si>
  <si>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</si>
  <si>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</si>
  <si>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</si>
  <si>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</si>
  <si>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</si>
  <si>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</si>
  <si>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</si>
  <si>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TC-040</t>
  </si>
  <si>
    <t>หน้าติดต่อเรา / แชทบอท</t>
  </si>
  <si>
    <t>เปิดหน้า Chat</t>
  </si>
  <si>
    <t>ส่งข้อความ</t>
  </si>
  <si>
    <t>Quick Button</t>
  </si>
  <si>
    <t>Tracking 
Command</t>
  </si>
  <si>
    <t>Response Time</t>
  </si>
  <si>
    <t>Refresh Page</t>
  </si>
  <si>
    <t>ตรวจสอบการเปิดหน้า Smart Bot</t>
  </si>
  <si>
    <t>ส่งข้อความถึง Bot</t>
  </si>
  <si>
    <t>ส่งข้อความว่าง</t>
  </si>
  <si>
    <t>ปุ่ม "แจ้งปัญหา"</t>
  </si>
  <si>
    <t>ปุ่ม "คุยกับคน"</t>
  </si>
  <si>
    <t>พิมพ์คำว่า "เลขพัสดุ"</t>
  </si>
  <si>
    <t>ตรวจสอบเวลาการตอบ</t>
  </si>
  <si>
    <t>ตรวจสอบ UI แชท</t>
  </si>
  <si>
    <t>รีเฟรชหน้าแชท</t>
  </si>
  <si>
    <t>พิมพ์ข้อความ : สวัสดี</t>
  </si>
  <si>
    <t>1. เปิดหน้าติดต่อเรา</t>
  </si>
  <si>
    <t>1. เปิดหน้าติดต่อเรา
2. พิมพ์ข้อความ
3. กดส่งข้อความ</t>
  </si>
  <si>
    <t>1. เปิดหน้าติดต่อเรา
2. ไม่พิมพ์
3. กดส่งข้อความ</t>
  </si>
  <si>
    <t>1. เปิดหน้าติดต่อเรา
2. กดปุ่มแจ้งปัญหา</t>
  </si>
  <si>
    <t>1. เปิดหน้าติดต่อเรา
2. กดปุ่มคุยกับคน</t>
  </si>
  <si>
    <t>1. กด refresh หน้าเว็บ</t>
  </si>
  <si>
    <t>ระบบแสดงหน้าต่าง Chat Bot น้องสมาร์ท (Smart Bot)</t>
  </si>
  <si>
    <t>ระบบไม่ส่งข้อความ</t>
  </si>
  <si>
    <t>Bot ตอบกลับ ขออภัยครับ น้องสมาร์ทยังไม่เข้าใจคำถาม กรุณาพิมพ์รายละเอียดเพิ่มเติม หรือติดต่อ Call Center 1234 ครับ</t>
  </si>
  <si>
    <t>Bot ตอบกลับ ขออภัยครับ น้องสมาร์ทยังไม่เข้าใจคำถาม กรุณาพิมพ์
รายละเอียดเพิ่มเติม หรือติดต่อ Call Center 1234 ครับ</t>
  </si>
  <si>
    <t>พิมพ์ข้อความ : T715480</t>
  </si>
  <si>
    <t>UI แสดงข้อความถูกต้อง</t>
  </si>
  <si>
    <t xml:space="preserve">3/14/2026, 
03:09 AM </t>
  </si>
  <si>
    <t>TC-041</t>
  </si>
  <si>
    <t>TC-042</t>
  </si>
  <si>
    <t>TC-043</t>
  </si>
  <si>
    <t>TC-044</t>
  </si>
  <si>
    <t>TC-045</t>
  </si>
  <si>
    <t>TC-046</t>
  </si>
  <si>
    <t>TC-047</t>
  </si>
  <si>
    <t>TC-048</t>
  </si>
  <si>
    <t>TC-049</t>
  </si>
  <si>
    <t>หน้าสร้างรายการพัสดุใหม่</t>
  </si>
  <si>
    <t>เพิ่มข้อมูลผู้ส่ง</t>
  </si>
  <si>
    <t>เพิ่มเบอร์ผู้ส่ง</t>
  </si>
  <si>
    <t>เพิ่มที่อยู่ผู้ส่ง</t>
  </si>
  <si>
    <t>เพิ่มชื่อผู้รับ</t>
  </si>
  <si>
    <t>เพิ่มเบอร์ผู้รับ</t>
  </si>
  <si>
    <t>เพิ่มที่อยู่ปลายทาง</t>
  </si>
  <si>
    <t>บันทึกพัสดุ</t>
  </si>
  <si>
    <t>ตรวจสอบช่องว่าง</t>
  </si>
  <si>
    <t>ฟังก์ชัน Staff Dashboard / สร้างรายการพัสดุใหม่</t>
  </si>
  <si>
    <t>ตรวจสอบเบอร์</t>
  </si>
  <si>
    <t>ตรวจสอบการกรอกชื่อผู้ส่ง</t>
  </si>
  <si>
    <t>ตรวจสอบการกรอกเบอร์โทรผู้ส่ง</t>
  </si>
  <si>
    <t>ตรวจสอบการกรอกที่อยู่ผู้ส่ง</t>
  </si>
  <si>
    <t>ตรวจสอบการกรอกชื่อผู้รับ</t>
  </si>
  <si>
    <t>ตรวจสอบการกรอกเบอร์ผู้รับ</t>
  </si>
  <si>
    <t>ตรวจสอบที่อยู่ผู้รับ</t>
  </si>
  <si>
    <t>ตรวจสอบการกดบันทึก</t>
  </si>
  <si>
    <t>ไม่กรอกชื่อผู้ส่ง</t>
  </si>
  <si>
    <t>กรอกตัวอักษร</t>
  </si>
  <si>
    <t>ชื่อผู้ส่ง : สมชาย ใจดี</t>
  </si>
  <si>
    <t>เบอร์โทรศัพท์ : 0891234567</t>
  </si>
  <si>
    <t>ที่อยู่ผู้จัดส่ง : กรุงเทพ</t>
  </si>
  <si>
    <t>ชื่อผู้รับ : สมหญิง ใจดี</t>
  </si>
  <si>
    <t>เบอร์โทรศัพท์ : 0812345678</t>
  </si>
  <si>
    <t>ที่อยู่ผู้รับ : เชียงใหม่</t>
  </si>
  <si>
    <t>ชื่อผู้ส่ง :</t>
  </si>
  <si>
    <t>เบอร์โทรศัพท์ : abc123</t>
  </si>
  <si>
    <t>กรอกข้อมูลครบ</t>
  </si>
  <si>
    <t>1. กรอกชื่อผู้ส่ง</t>
  </si>
  <si>
    <t>1. กรอกเบอร์โทร</t>
  </si>
  <si>
    <t>1. กรอกที่อยู่ผู้ส่ง</t>
  </si>
  <si>
    <t>1. กรอกชื่อผู้รับ</t>
  </si>
  <si>
    <t>1. กรอกที่อยู่ผู้รับ</t>
  </si>
  <si>
    <t>1. กรอกเบอร์โทรผิดรูปแบบ</t>
  </si>
  <si>
    <t>ระบบรับข้อมูลได้</t>
  </si>
  <si>
    <t>ระบบสร้าง Tracking ใหม่</t>
  </si>
  <si>
    <t>TC-050</t>
  </si>
  <si>
    <t>TC-051</t>
  </si>
  <si>
    <t>TC-052</t>
  </si>
  <si>
    <t>TC-053</t>
  </si>
  <si>
    <t>TC-054</t>
  </si>
  <si>
    <t>ค้นหา Tracking</t>
  </si>
  <si>
    <t>เปลี่ยนสถานะ</t>
  </si>
  <si>
    <t>บันทึกสถานะ</t>
  </si>
  <si>
    <t>Tracking ผิด</t>
  </si>
  <si>
    <t>ไม่เลือกสถานะ</t>
  </si>
  <si>
    <t>ตรวจสอบการค้นหาเลขพัสดุ</t>
  </si>
  <si>
    <t>เลือกสถานะพัสดุ</t>
  </si>
  <si>
    <t>กดยืนยันสถานะ</t>
  </si>
  <si>
    <t>ใส่เลขพัสดุไม่ถูกต้อง</t>
  </si>
  <si>
    <t>กดยืนยันโดยไม่เลือก</t>
  </si>
  <si>
    <t>เข้ารับพัสดุแล้ว</t>
  </si>
  <si>
    <t>Tracking ถูกต้อง</t>
  </si>
  <si>
    <t>ABC999</t>
  </si>
  <si>
    <t>1. กรอก Tracking</t>
  </si>
  <si>
    <t>1. เลือกสถานะ</t>
  </si>
  <si>
    <t>1. กดยืนยัน</t>
  </si>
  <si>
    <t>1. กรอก Tracking ผิด</t>
  </si>
  <si>
    <t>ระบบพบข้อมูล</t>
  </si>
  <si>
    <t>ระบบเปลี่ยนสถานะได้</t>
  </si>
  <si>
    <t>ระบบอัปเดตสถานะ</t>
  </si>
  <si>
    <t>TC-055</t>
  </si>
  <si>
    <t>TC-056</t>
  </si>
  <si>
    <t>ฟังก์ชัน Staff Dashboard / รายการพัสดุล่าสุดในระบบ</t>
  </si>
  <si>
    <t>หน้ารายการพัสดุล่าสุด</t>
  </si>
  <si>
    <t>แสดงตารางพัสดุ</t>
  </si>
  <si>
    <t>คลิก Tracking</t>
  </si>
  <si>
    <t>ตรวจสอบการแสดงรายการ</t>
  </si>
  <si>
    <t>ตรวจสอบลิงก์เลขพัสดุ</t>
  </si>
  <si>
    <t>ข้อมูลพัสดุ</t>
  </si>
  <si>
    <t>ตารางแสดง Tracking</t>
  </si>
  <si>
    <t>ฟังก์ชัน Staff Dashboard / ปุ่มระบบ</t>
  </si>
  <si>
    <t>TC-57</t>
  </si>
  <si>
    <t>TC-58</t>
  </si>
  <si>
    <t>หน้าระบบจัดการพัสดุ</t>
  </si>
  <si>
    <t>กลับหน้าผู้ใช้งาน</t>
  </si>
  <si>
    <t>ตรวจสอบปุ่มกลับหน้า</t>
  </si>
  <si>
    <t>ตรวจสอบ Logout</t>
  </si>
  <si>
    <t>Login แล้ว</t>
  </si>
  <si>
    <t>1. กดปุ่มออกจากระบบ</t>
  </si>
  <si>
    <t>1. กดปุ่มกลับหน้าผู้ใช้งาน</t>
  </si>
  <si>
    <t>ระบบออกจากระบบ กลับหน้าเข้าสู่ระบบ</t>
  </si>
  <si>
    <t>ระบบกลับหน้าผู้ใช้งาน (หน้าแรก)</t>
  </si>
  <si>
    <t xml:space="preserve">3/14/2026, 04:33 AM </t>
  </si>
  <si>
    <t xml:space="preserve">หน้ารายการพัสดุล่าสุด
</t>
  </si>
  <si>
    <t>1. เปิดหน้า Dashboard</t>
  </si>
  <si>
    <t>1. คลิกเลขพัสดุ</t>
  </si>
  <si>
    <t>ระบบแจ้งเตือน ไม่พบรหัสพัสดุ</t>
  </si>
  <si>
    <t>ระบบแจ้งเตือน กรุณากรอกข้อมูลให้ครบถ้วน</t>
  </si>
  <si>
    <t>3/14/2026, 04:52 AM</t>
  </si>
  <si>
    <t>3/14/2026, 04:55 AM</t>
  </si>
  <si>
    <t>3/14/2026, 04:56 AM</t>
  </si>
  <si>
    <t>ระบบแสดงข้อมูลพัสดุ</t>
  </si>
  <si>
    <t>ไม่มีอะไรเกิดขึ้น
ระบบไม่แสดงข้อมูลพัสดุ</t>
  </si>
  <si>
    <t>ระบบไม่แจ้งเตือน 
สร้างรายการพัสดุใหม่
สำเร็จ</t>
  </si>
  <si>
    <t>ระบบแจ้งเตือน กรุณากรอกข้อมูลให้ถูกต้อง</t>
  </si>
  <si>
    <t>ยังอยู่ในหน้าแชท</t>
  </si>
  <si>
    <t>Bot ตอบกลับ</t>
  </si>
  <si>
    <t>ระบบแสดงราคาประเมินค่าจัดส่ง 
เส้นทาง กรุงเทพมหานคร ไป เชียงใหม่</t>
  </si>
  <si>
    <t>ระบบแจ้งเตือนให้กรอกข้อมูลน้ำหนัก ให้ถูกต้อง</t>
  </si>
  <si>
    <t>1. กรอกข้อมูลครบ 
2. กดบันทึก</t>
  </si>
  <si>
    <t>1. เว้นชื่อผู้ส่ง 
2. กดบันทึก</t>
  </si>
  <si>
    <t>ฟังก์ชันเช็กราคาจัดส่ง</t>
  </si>
  <si>
    <t>ปุ่ม "เช็กพัสดุ"</t>
  </si>
  <si>
    <t>1. เปิดหน้าติดต่อเรา
2. กดปุ่มเช็กพัสดุ</t>
  </si>
  <si>
    <t>ฟังก์ชัน Staff Dashboard / อัปเดตสถานะการจัดส่ง</t>
  </si>
  <si>
    <t>หน้าจออัปเดตสถานะ</t>
  </si>
  <si>
    <t>ตรวจสอบการแสดงผล password แบบปกปิด</t>
  </si>
  <si>
    <t>1. คลิกช่อง password
2. พิมพ์รหัสผ่าน</t>
  </si>
  <si>
    <t>1. เปิดหน้า login
2. กรอก username
3. กรอก password
4. กด เข้าสู่ระบบ
5. เมื่อเข้าสู่ระบบแล้ว กด Refresh หน้าเว็บ</t>
  </si>
  <si>
    <t>ระบบแจ้งกรุณากรอกชื่อผู้ใช้</t>
  </si>
  <si>
    <t>ระบบแจ้งกรุณากรอกรหัสผ่าน</t>
  </si>
  <si>
    <t>1. เปิดหน้า login</t>
  </si>
  <si>
    <t>ตรวจสอบการ login ด้วยข้อมูลที่ถูกต้อง</t>
  </si>
  <si>
    <t>ตรวจสอบการแสดงผลหน้า login</t>
  </si>
  <si>
    <t>ระบบนำผู้ใช้ไปยังหน้า dashboard ได้สำเร็จ</t>
  </si>
  <si>
    <t>ระบบแสดงช่องกรอก username, password และปุ่ม login ครบถ้วน</t>
  </si>
  <si>
    <t>ระบบแสดงค่าที่กรอกในช่อง password เป็นสัญลักษณ์ เช่น ● หรือ * เพื่อปกปิดข้อมูลจากผู้ใช้งาน</t>
  </si>
  <si>
    <t>ระบบยังคงสถานะการเข้าสู่ระบบ และไม่กลับไปยังหน้า Login หลังจาก refresh</t>
  </si>
  <si>
    <t>ระบบแจ้งไม่พบข้อมูลพัสดุในระบบ
กรุณาตรวจสอบหมายเลขอีกครั้ง</t>
  </si>
  <si>
    <t>ระบบแจ้งให้กรอกหมายเลขพัสดุ</t>
  </si>
  <si>
    <t>ระบบยังคงอยู่ในหน้าเช็คพัสดุ หลังจาก refresh</t>
  </si>
  <si>
    <t>ระบบแสดงราคาประเมินค่าจัดส่ง</t>
  </si>
  <si>
    <t>ระบบแจ้งเตือนให้กรอกข้อมูลต้นทาง</t>
  </si>
  <si>
    <t xml:space="preserve">ระบบแจ้งเตือนให้กรอกข้อมูลปลายทาง
</t>
  </si>
  <si>
    <t xml:space="preserve">ระบบแจ้งเตือนให้กรอกข้อมูลน้ำหนัก
</t>
  </si>
  <si>
    <t xml:space="preserve">ระบบแจ้งเตือนให้กรอกข้อมูลขนาดพัสดุ
</t>
  </si>
  <si>
    <t xml:space="preserve">ระบบแจ้งเตือนให้กรอกข้อมูลน้ำหนัก ให้ถูกต้อง
</t>
  </si>
  <si>
    <t>ระบบแสดงราคาประเมินค่าจัดส่งที่เพิ่มขึ้น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</si>
</sst>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name val="Arial"/>
    </font>
    <font>
      <sz val="10"/>
      <color rgb="FF000000"/>
      <name val="Arial"/>
    </font>
    <font>
      <u/>
      <sz val="10"/>
      <color theme="10"/>
      <name val="Arial"/>
      <scheme val="minor"/>
    </font>
    <font>
      <sz val="10"/>
      <color theme="1"/>
      <name val="Arial"/>
      <family val="2"/>
    </font>
    <font>
      <sz val="8"/>
      <name val="Arial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76A5AF"/>
        <bgColor rgb="FF76A5AF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horizontal="right" vertical="top" wrapText="1"/>
    </xf>
    <xf numFmtId="0" fontId="1" fillId="5" borderId="1" xfId="0" applyFont="1" applyFill="1" applyBorder="1" applyAlignment="1">
      <alignment horizontal="right" vertical="top" wrapText="1"/>
    </xf>
    <xf numFmtId="0" fontId="2" fillId="6" borderId="1" xfId="0" applyFont="1" applyFill="1" applyBorder="1" applyAlignment="1">
      <alignment horizontal="right" vertical="top" wrapText="1"/>
    </xf>
    <xf numFmtId="0" fontId="3" fillId="7" borderId="2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0" borderId="1" xfId="0" quotePrefix="1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1" fillId="0" borderId="7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6" fillId="0" borderId="0" xfId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11" fillId="0" borderId="8" xfId="0" applyFont="1" applyBorder="1" applyAlignment="1">
      <alignment vertical="top" wrapText="1"/>
    </xf>
    <xf numFmtId="0" fontId="10" fillId="8" borderId="3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3" fillId="8" borderId="3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mart-logistic-erp.netlif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15"/>
  <sheetViews>
    <sheetView tabSelected="1" topLeftCell="C1" zoomScale="82" zoomScaleNormal="82" workbookViewId="0">
      <pane ySplit="6" topLeftCell="A49" activePane="bottomLeft" state="frozen"/>
      <selection pane="bottomLeft" activeCell="F30" sqref="F30"/>
    </sheetView>
  </sheetViews>
  <sheetFormatPr defaultColWidth="12.6640625" defaultRowHeight="15" customHeight="1" x14ac:dyDescent="0.25"/>
  <cols>
    <col min="1" max="1" width="12" style="13" customWidth="1"/>
    <col min="2" max="2" width="22.88671875" style="13" customWidth="1"/>
    <col min="3" max="3" width="15.6640625" style="13" customWidth="1"/>
    <col min="4" max="4" width="47.109375" style="13" customWidth="1"/>
    <col min="5" max="5" width="9.33203125" style="13" customWidth="1"/>
    <col min="6" max="6" width="30.6640625" style="13" customWidth="1"/>
    <col min="7" max="7" width="30.33203125" style="13" customWidth="1"/>
    <col min="8" max="8" width="52" style="13" customWidth="1"/>
    <col min="9" max="9" width="12.6640625" style="13"/>
    <col min="10" max="10" width="17.88671875" style="13" customWidth="1"/>
    <col min="11" max="11" width="25.5546875" style="13" customWidth="1"/>
    <col min="12" max="16384" width="12.6640625" style="13"/>
  </cols>
  <sheetData>
    <row r="1" spans="1:11" ht="15.75" customHeight="1" x14ac:dyDescent="0.25">
      <c r="A1" s="14" t="s">
        <v>0</v>
      </c>
      <c r="B1" s="8" t="s">
        <v>52</v>
      </c>
      <c r="C1" s="8"/>
      <c r="E1" s="8"/>
      <c r="F1" s="8"/>
      <c r="G1" s="8"/>
      <c r="H1" s="1" t="s">
        <v>1</v>
      </c>
      <c r="I1" s="1">
        <f t="array" ref="I1">COUNTIF(I8:I1039, "*Pass*")</f>
        <v>51</v>
      </c>
      <c r="J1" s="8"/>
    </row>
    <row r="2" spans="1:11" ht="15.75" customHeight="1" x14ac:dyDescent="0.25">
      <c r="A2" s="14" t="s">
        <v>2</v>
      </c>
      <c r="B2" s="8" t="s">
        <v>51</v>
      </c>
      <c r="C2" s="8"/>
      <c r="E2" s="8"/>
      <c r="F2" s="8"/>
      <c r="G2" s="8"/>
      <c r="H2" s="2" t="s">
        <v>3</v>
      </c>
      <c r="I2" s="2">
        <f t="array" ref="I2">COUNTIF(I8:I1039, "*Fail*")</f>
        <v>7</v>
      </c>
      <c r="J2" s="8"/>
    </row>
    <row r="3" spans="1:11" ht="15.75" customHeight="1" x14ac:dyDescent="0.25">
      <c r="A3" s="8" t="s">
        <v>4</v>
      </c>
      <c r="B3" s="8" t="s">
        <v>5</v>
      </c>
      <c r="C3" s="8"/>
      <c r="E3" s="8"/>
      <c r="F3" s="8"/>
      <c r="G3" s="8"/>
      <c r="H3" s="3" t="s">
        <v>6</v>
      </c>
      <c r="I3" s="3">
        <f t="array" ref="I3">SUM(COUNTIF(I8:I1039, {"pass","fail"}))</f>
        <v>58</v>
      </c>
      <c r="J3" s="8"/>
    </row>
    <row r="4" spans="1:11" ht="15.75" customHeight="1" x14ac:dyDescent="0.25">
      <c r="A4" s="8" t="s">
        <v>7</v>
      </c>
      <c r="B4" s="15" t="s">
        <v>156</v>
      </c>
      <c r="C4" s="8"/>
      <c r="E4" s="8"/>
      <c r="F4" s="8"/>
      <c r="G4" s="8"/>
      <c r="H4" s="4"/>
      <c r="I4" s="4"/>
      <c r="J4" s="8"/>
    </row>
    <row r="5" spans="1:11" ht="15.6" customHeight="1" x14ac:dyDescent="0.25">
      <c r="A5" s="8"/>
      <c r="B5" s="8"/>
      <c r="C5" s="8"/>
      <c r="E5" s="8"/>
      <c r="F5" s="8"/>
      <c r="G5" s="8"/>
      <c r="H5" s="5" t="s">
        <v>8</v>
      </c>
      <c r="I5" s="5">
        <f t="array" ref="I5">COUNTIF(A8:A1039, "*TC-*")</f>
        <v>58</v>
      </c>
      <c r="J5" s="8"/>
    </row>
    <row r="6" spans="1:11" ht="15.75" customHeight="1" x14ac:dyDescent="0.25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6" t="s">
        <v>17</v>
      </c>
      <c r="J6" s="6" t="s">
        <v>18</v>
      </c>
      <c r="K6" s="6" t="s">
        <v>19</v>
      </c>
    </row>
    <row r="7" spans="1:11" ht="15.75" customHeight="1" x14ac:dyDescent="0.25">
      <c r="A7" s="22" t="s">
        <v>83</v>
      </c>
      <c r="B7" s="20"/>
      <c r="C7" s="20"/>
      <c r="D7" s="20"/>
      <c r="E7" s="20"/>
      <c r="F7" s="20"/>
      <c r="G7" s="20"/>
      <c r="H7" s="20"/>
      <c r="I7" s="20"/>
      <c r="J7" s="20"/>
      <c r="K7" s="21"/>
    </row>
    <row r="8" spans="1:11" ht="52.8" x14ac:dyDescent="0.25">
      <c r="A8" s="7" t="s">
        <v>20</v>
      </c>
      <c r="B8" s="7" t="s">
        <v>54</v>
      </c>
      <c r="C8" s="7" t="s">
        <v>55</v>
      </c>
      <c r="D8" s="7" t="s">
        <v>322</v>
      </c>
      <c r="E8" s="7" t="s">
        <v>21</v>
      </c>
      <c r="F8" s="7" t="s">
        <v>66</v>
      </c>
      <c r="G8" s="7" t="s">
        <v>70</v>
      </c>
      <c r="H8" s="7" t="s">
        <v>324</v>
      </c>
      <c r="I8" s="7" t="s">
        <v>1</v>
      </c>
      <c r="J8" s="10" t="s">
        <v>82</v>
      </c>
      <c r="K8" s="7"/>
    </row>
    <row r="9" spans="1:11" ht="52.8" x14ac:dyDescent="0.25">
      <c r="A9" s="9" t="s">
        <v>22</v>
      </c>
      <c r="B9" s="9" t="s">
        <v>54</v>
      </c>
      <c r="C9" s="9" t="s">
        <v>53</v>
      </c>
      <c r="D9" s="9" t="s">
        <v>56</v>
      </c>
      <c r="E9" s="7" t="s">
        <v>23</v>
      </c>
      <c r="F9" s="9" t="s">
        <v>67</v>
      </c>
      <c r="G9" s="9" t="s">
        <v>69</v>
      </c>
      <c r="H9" s="9" t="s">
        <v>80</v>
      </c>
      <c r="I9" s="9" t="s">
        <v>1</v>
      </c>
      <c r="J9" s="10" t="s">
        <v>82</v>
      </c>
      <c r="K9" s="9"/>
    </row>
    <row r="10" spans="1:11" ht="52.8" x14ac:dyDescent="0.25">
      <c r="A10" s="9" t="s">
        <v>24</v>
      </c>
      <c r="B10" s="9" t="s">
        <v>54</v>
      </c>
      <c r="C10" s="9" t="s">
        <v>53</v>
      </c>
      <c r="D10" s="9" t="s">
        <v>57</v>
      </c>
      <c r="E10" s="7" t="s">
        <v>23</v>
      </c>
      <c r="F10" s="9" t="s">
        <v>68</v>
      </c>
      <c r="G10" s="9" t="s">
        <v>71</v>
      </c>
      <c r="H10" s="9" t="s">
        <v>319</v>
      </c>
      <c r="I10" s="9" t="s">
        <v>1</v>
      </c>
      <c r="J10" s="10" t="s">
        <v>82</v>
      </c>
      <c r="K10" s="9"/>
    </row>
    <row r="11" spans="1:11" ht="52.8" x14ac:dyDescent="0.25">
      <c r="A11" s="9" t="s">
        <v>25</v>
      </c>
      <c r="B11" s="9" t="s">
        <v>54</v>
      </c>
      <c r="C11" s="9" t="s">
        <v>53</v>
      </c>
      <c r="D11" s="9" t="s">
        <v>58</v>
      </c>
      <c r="E11" s="7" t="s">
        <v>23</v>
      </c>
      <c r="F11" s="9" t="s">
        <v>72</v>
      </c>
      <c r="G11" s="9" t="s">
        <v>73</v>
      </c>
      <c r="H11" s="9" t="s">
        <v>320</v>
      </c>
      <c r="I11" s="9" t="s">
        <v>1</v>
      </c>
      <c r="J11" s="10" t="s">
        <v>82</v>
      </c>
      <c r="K11" s="9"/>
    </row>
    <row r="12" spans="1:11" ht="52.8" x14ac:dyDescent="0.25">
      <c r="A12" s="9" t="s">
        <v>26</v>
      </c>
      <c r="B12" s="9" t="s">
        <v>54</v>
      </c>
      <c r="C12" s="9" t="s">
        <v>53</v>
      </c>
      <c r="D12" s="9" t="s">
        <v>59</v>
      </c>
      <c r="E12" s="7" t="s">
        <v>23</v>
      </c>
      <c r="F12" s="9" t="s">
        <v>74</v>
      </c>
      <c r="G12" s="9" t="s">
        <v>75</v>
      </c>
      <c r="H12" s="9" t="s">
        <v>80</v>
      </c>
      <c r="I12" s="9" t="s">
        <v>1</v>
      </c>
      <c r="J12" s="10" t="s">
        <v>82</v>
      </c>
      <c r="K12" s="9"/>
    </row>
    <row r="13" spans="1:11" ht="26.4" x14ac:dyDescent="0.25">
      <c r="A13" s="9" t="s">
        <v>27</v>
      </c>
      <c r="B13" s="9" t="s">
        <v>54</v>
      </c>
      <c r="C13" s="9" t="s">
        <v>65</v>
      </c>
      <c r="D13" s="9" t="s">
        <v>323</v>
      </c>
      <c r="E13" s="7" t="s">
        <v>21</v>
      </c>
      <c r="F13" s="9" t="s">
        <v>76</v>
      </c>
      <c r="G13" s="9" t="s">
        <v>321</v>
      </c>
      <c r="H13" s="9" t="s">
        <v>325</v>
      </c>
      <c r="I13" s="9" t="s">
        <v>1</v>
      </c>
      <c r="J13" s="10" t="s">
        <v>82</v>
      </c>
      <c r="K13" s="9"/>
    </row>
    <row r="14" spans="1:11" ht="26.4" x14ac:dyDescent="0.25">
      <c r="A14" s="9" t="s">
        <v>28</v>
      </c>
      <c r="B14" s="9" t="s">
        <v>54</v>
      </c>
      <c r="C14" s="9" t="s">
        <v>64</v>
      </c>
      <c r="D14" s="9" t="s">
        <v>60</v>
      </c>
      <c r="E14" s="7" t="s">
        <v>21</v>
      </c>
      <c r="F14" s="9" t="s">
        <v>76</v>
      </c>
      <c r="G14" s="9" t="s">
        <v>81</v>
      </c>
      <c r="H14" s="9" t="s">
        <v>78</v>
      </c>
      <c r="I14" s="9" t="s">
        <v>1</v>
      </c>
      <c r="J14" s="10" t="s">
        <v>82</v>
      </c>
      <c r="K14" s="9"/>
    </row>
    <row r="15" spans="1:11" ht="26.4" x14ac:dyDescent="0.25">
      <c r="A15" s="9" t="s">
        <v>29</v>
      </c>
      <c r="B15" s="9" t="s">
        <v>54</v>
      </c>
      <c r="C15" s="9" t="s">
        <v>64</v>
      </c>
      <c r="D15" s="9" t="s">
        <v>316</v>
      </c>
      <c r="E15" s="7" t="s">
        <v>21</v>
      </c>
      <c r="F15" s="9" t="s">
        <v>76</v>
      </c>
      <c r="G15" s="9" t="s">
        <v>317</v>
      </c>
      <c r="H15" s="9" t="s">
        <v>326</v>
      </c>
      <c r="I15" s="9" t="s">
        <v>1</v>
      </c>
      <c r="J15" s="10" t="s">
        <v>82</v>
      </c>
      <c r="K15" s="9"/>
    </row>
    <row r="16" spans="1:11" ht="79.2" x14ac:dyDescent="0.25">
      <c r="A16" s="9" t="s">
        <v>30</v>
      </c>
      <c r="B16" s="9" t="s">
        <v>54</v>
      </c>
      <c r="C16" s="9" t="s">
        <v>63</v>
      </c>
      <c r="D16" s="9" t="s">
        <v>61</v>
      </c>
      <c r="E16" s="7" t="s">
        <v>21</v>
      </c>
      <c r="F16" s="9" t="s">
        <v>66</v>
      </c>
      <c r="G16" s="9" t="s">
        <v>318</v>
      </c>
      <c r="H16" s="9" t="s">
        <v>327</v>
      </c>
      <c r="I16" s="9" t="s">
        <v>1</v>
      </c>
      <c r="J16" s="10" t="s">
        <v>82</v>
      </c>
      <c r="K16" s="9"/>
    </row>
    <row r="17" spans="1:25" ht="26.4" x14ac:dyDescent="0.25">
      <c r="A17" s="9" t="s">
        <v>31</v>
      </c>
      <c r="B17" s="9" t="s">
        <v>54</v>
      </c>
      <c r="C17" s="9" t="s">
        <v>62</v>
      </c>
      <c r="D17" s="9" t="s">
        <v>62</v>
      </c>
      <c r="E17" s="7" t="s">
        <v>21</v>
      </c>
      <c r="F17" s="9" t="s">
        <v>76</v>
      </c>
      <c r="G17" s="9" t="s">
        <v>77</v>
      </c>
      <c r="H17" s="9" t="s">
        <v>79</v>
      </c>
      <c r="I17" s="9" t="s">
        <v>1</v>
      </c>
      <c r="J17" s="10" t="s">
        <v>82</v>
      </c>
      <c r="K17" s="9"/>
    </row>
    <row r="18" spans="1:25" ht="15.75" customHeight="1" x14ac:dyDescent="0.25">
      <c r="A18" s="22" t="s">
        <v>84</v>
      </c>
      <c r="B18" s="20"/>
      <c r="C18" s="20"/>
      <c r="D18" s="20"/>
      <c r="E18" s="20"/>
      <c r="F18" s="20"/>
      <c r="G18" s="20"/>
      <c r="H18" s="20"/>
      <c r="I18" s="20"/>
      <c r="J18" s="20"/>
      <c r="K18" s="21"/>
    </row>
    <row r="19" spans="1:25" ht="39.6" x14ac:dyDescent="0.25">
      <c r="A19" s="9" t="s">
        <v>32</v>
      </c>
      <c r="B19" s="9" t="s">
        <v>85</v>
      </c>
      <c r="C19" s="9" t="s">
        <v>86</v>
      </c>
      <c r="D19" s="9" t="s">
        <v>108</v>
      </c>
      <c r="E19" s="9" t="s">
        <v>21</v>
      </c>
      <c r="F19" s="9" t="s">
        <v>119</v>
      </c>
      <c r="G19" s="9" t="s">
        <v>102</v>
      </c>
      <c r="H19" s="9" t="s">
        <v>101</v>
      </c>
      <c r="I19" s="9" t="s">
        <v>1</v>
      </c>
      <c r="J19" s="9" t="s">
        <v>118</v>
      </c>
      <c r="K19" s="9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spans="1:25" ht="52.8" x14ac:dyDescent="0.25">
      <c r="A20" s="9" t="s">
        <v>33</v>
      </c>
      <c r="B20" s="9" t="s">
        <v>85</v>
      </c>
      <c r="C20" s="9" t="s">
        <v>86</v>
      </c>
      <c r="D20" s="9" t="s">
        <v>109</v>
      </c>
      <c r="E20" s="9" t="s">
        <v>23</v>
      </c>
      <c r="F20" s="11" t="s">
        <v>120</v>
      </c>
      <c r="G20" s="9" t="s">
        <v>103</v>
      </c>
      <c r="H20" s="9" t="s">
        <v>328</v>
      </c>
      <c r="I20" s="9" t="s">
        <v>1</v>
      </c>
      <c r="J20" s="9" t="s">
        <v>118</v>
      </c>
      <c r="K20" s="9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spans="1:25" ht="39.6" x14ac:dyDescent="0.25">
      <c r="A21" s="9" t="s">
        <v>34</v>
      </c>
      <c r="B21" s="9" t="s">
        <v>85</v>
      </c>
      <c r="C21" s="9" t="s">
        <v>87</v>
      </c>
      <c r="D21" s="9" t="s">
        <v>110</v>
      </c>
      <c r="E21" s="9" t="s">
        <v>23</v>
      </c>
      <c r="F21" s="9" t="s">
        <v>76</v>
      </c>
      <c r="G21" s="9" t="s">
        <v>104</v>
      </c>
      <c r="H21" s="9" t="s">
        <v>329</v>
      </c>
      <c r="I21" s="9" t="s">
        <v>1</v>
      </c>
      <c r="J21" s="9" t="s">
        <v>118</v>
      </c>
      <c r="K21" s="9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spans="1:25" ht="26.4" x14ac:dyDescent="0.25">
      <c r="A22" s="9" t="s">
        <v>35</v>
      </c>
      <c r="B22" s="9" t="s">
        <v>85</v>
      </c>
      <c r="C22" s="9" t="s">
        <v>64</v>
      </c>
      <c r="D22" s="9" t="s">
        <v>111</v>
      </c>
      <c r="E22" s="9" t="s">
        <v>21</v>
      </c>
      <c r="F22" s="9" t="s">
        <v>119</v>
      </c>
      <c r="G22" s="9" t="s">
        <v>98</v>
      </c>
      <c r="H22" s="9" t="s">
        <v>100</v>
      </c>
      <c r="I22" s="9" t="s">
        <v>1</v>
      </c>
      <c r="J22" s="9" t="s">
        <v>118</v>
      </c>
      <c r="K22" s="9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ht="39.6" x14ac:dyDescent="0.25">
      <c r="A23" s="9" t="s">
        <v>36</v>
      </c>
      <c r="B23" s="9" t="s">
        <v>85</v>
      </c>
      <c r="C23" s="9" t="s">
        <v>88</v>
      </c>
      <c r="D23" s="9" t="s">
        <v>94</v>
      </c>
      <c r="E23" s="9" t="s">
        <v>21</v>
      </c>
      <c r="F23" s="9" t="s">
        <v>119</v>
      </c>
      <c r="G23" s="9" t="s">
        <v>102</v>
      </c>
      <c r="H23" s="9" t="s">
        <v>115</v>
      </c>
      <c r="I23" s="9" t="s">
        <v>1</v>
      </c>
      <c r="J23" s="9" t="s">
        <v>118</v>
      </c>
      <c r="K23" s="9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spans="1:25" ht="52.8" x14ac:dyDescent="0.25">
      <c r="A24" s="9" t="s">
        <v>37</v>
      </c>
      <c r="B24" s="9" t="s">
        <v>85</v>
      </c>
      <c r="C24" s="9" t="s">
        <v>89</v>
      </c>
      <c r="D24" s="9" t="s">
        <v>112</v>
      </c>
      <c r="E24" s="9" t="s">
        <v>23</v>
      </c>
      <c r="F24" s="9" t="s">
        <v>121</v>
      </c>
      <c r="G24" s="9" t="s">
        <v>105</v>
      </c>
      <c r="H24" s="9" t="s">
        <v>328</v>
      </c>
      <c r="I24" s="9" t="s">
        <v>1</v>
      </c>
      <c r="J24" s="9" t="s">
        <v>118</v>
      </c>
      <c r="K24" s="9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spans="1:25" ht="39.6" x14ac:dyDescent="0.25">
      <c r="A25" s="9" t="s">
        <v>38</v>
      </c>
      <c r="B25" s="9" t="s">
        <v>85</v>
      </c>
      <c r="C25" s="9" t="s">
        <v>90</v>
      </c>
      <c r="D25" s="9" t="s">
        <v>95</v>
      </c>
      <c r="E25" s="9" t="s">
        <v>21</v>
      </c>
      <c r="F25" s="9" t="s">
        <v>119</v>
      </c>
      <c r="G25" s="9" t="s">
        <v>102</v>
      </c>
      <c r="H25" s="9" t="s">
        <v>116</v>
      </c>
      <c r="I25" s="9" t="s">
        <v>1</v>
      </c>
      <c r="J25" s="9" t="s">
        <v>118</v>
      </c>
      <c r="K25" s="9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1:25" ht="39.6" x14ac:dyDescent="0.25">
      <c r="A26" s="9" t="s">
        <v>39</v>
      </c>
      <c r="B26" s="9" t="s">
        <v>85</v>
      </c>
      <c r="C26" s="9" t="s">
        <v>91</v>
      </c>
      <c r="D26" s="9" t="s">
        <v>96</v>
      </c>
      <c r="E26" s="9" t="s">
        <v>21</v>
      </c>
      <c r="F26" s="9" t="s">
        <v>119</v>
      </c>
      <c r="G26" s="9" t="s">
        <v>102</v>
      </c>
      <c r="H26" s="9" t="s">
        <v>155</v>
      </c>
      <c r="I26" s="9" t="s">
        <v>1</v>
      </c>
      <c r="J26" s="9" t="s">
        <v>118</v>
      </c>
      <c r="K26" s="9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spans="1:25" ht="26.4" x14ac:dyDescent="0.25">
      <c r="A27" s="9" t="s">
        <v>40</v>
      </c>
      <c r="B27" s="9" t="s">
        <v>85</v>
      </c>
      <c r="C27" s="9" t="s">
        <v>92</v>
      </c>
      <c r="D27" s="9" t="s">
        <v>97</v>
      </c>
      <c r="E27" s="9" t="s">
        <v>21</v>
      </c>
      <c r="F27" s="9" t="s">
        <v>76</v>
      </c>
      <c r="G27" s="9" t="s">
        <v>106</v>
      </c>
      <c r="H27" s="9" t="s">
        <v>99</v>
      </c>
      <c r="I27" s="9" t="s">
        <v>1</v>
      </c>
      <c r="J27" s="9" t="s">
        <v>118</v>
      </c>
      <c r="K27" s="9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spans="1:25" ht="52.8" x14ac:dyDescent="0.25">
      <c r="A28" s="9" t="s">
        <v>41</v>
      </c>
      <c r="B28" s="9" t="s">
        <v>85</v>
      </c>
      <c r="C28" s="9" t="s">
        <v>93</v>
      </c>
      <c r="D28" s="9" t="s">
        <v>113</v>
      </c>
      <c r="E28" s="9" t="s">
        <v>21</v>
      </c>
      <c r="F28" s="9" t="s">
        <v>119</v>
      </c>
      <c r="G28" s="9" t="s">
        <v>107</v>
      </c>
      <c r="H28" s="11" t="s">
        <v>330</v>
      </c>
      <c r="I28" s="9" t="s">
        <v>3</v>
      </c>
      <c r="J28" s="9" t="s">
        <v>118</v>
      </c>
      <c r="K28" s="9" t="s">
        <v>117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spans="1:25" ht="15.75" customHeight="1" x14ac:dyDescent="0.25">
      <c r="A29" s="22" t="s">
        <v>311</v>
      </c>
      <c r="B29" s="20"/>
      <c r="C29" s="20"/>
      <c r="D29" s="20"/>
      <c r="E29" s="20"/>
      <c r="F29" s="20"/>
      <c r="G29" s="20"/>
      <c r="H29" s="20"/>
      <c r="I29" s="20"/>
      <c r="J29" s="20"/>
      <c r="K29" s="21"/>
    </row>
    <row r="30" spans="1:25" ht="79.2" x14ac:dyDescent="0.25">
      <c r="A30" s="9" t="s">
        <v>42</v>
      </c>
      <c r="B30" s="9" t="s">
        <v>123</v>
      </c>
      <c r="C30" s="9" t="s">
        <v>124</v>
      </c>
      <c r="D30" s="9" t="s">
        <v>127</v>
      </c>
      <c r="E30" s="9" t="s">
        <v>21</v>
      </c>
      <c r="F30" s="9" t="s">
        <v>137</v>
      </c>
      <c r="G30" s="9" t="s">
        <v>149</v>
      </c>
      <c r="H30" s="13" t="s">
        <v>331</v>
      </c>
      <c r="I30" s="9" t="s">
        <v>1</v>
      </c>
      <c r="J30" s="9" t="s">
        <v>157</v>
      </c>
      <c r="K30" s="9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 spans="1:25" ht="79.2" x14ac:dyDescent="0.25">
      <c r="A31" s="9" t="s">
        <v>43</v>
      </c>
      <c r="B31" s="9" t="s">
        <v>123</v>
      </c>
      <c r="C31" s="9" t="s">
        <v>125</v>
      </c>
      <c r="D31" s="9" t="s">
        <v>128</v>
      </c>
      <c r="E31" s="9" t="s">
        <v>23</v>
      </c>
      <c r="F31" s="9" t="s">
        <v>138</v>
      </c>
      <c r="G31" s="9" t="s">
        <v>148</v>
      </c>
      <c r="H31" s="9" t="s">
        <v>332</v>
      </c>
      <c r="I31" s="9" t="s">
        <v>1</v>
      </c>
      <c r="J31" s="9" t="s">
        <v>157</v>
      </c>
      <c r="K31" s="9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 spans="1:25" ht="79.2" x14ac:dyDescent="0.25">
      <c r="A32" s="9" t="s">
        <v>44</v>
      </c>
      <c r="B32" s="9" t="s">
        <v>123</v>
      </c>
      <c r="C32" s="9" t="s">
        <v>125</v>
      </c>
      <c r="D32" s="9" t="s">
        <v>129</v>
      </c>
      <c r="E32" s="9" t="s">
        <v>23</v>
      </c>
      <c r="F32" s="9" t="s">
        <v>139</v>
      </c>
      <c r="G32" s="9" t="s">
        <v>147</v>
      </c>
      <c r="H32" s="9" t="s">
        <v>333</v>
      </c>
      <c r="I32" s="9" t="s">
        <v>1</v>
      </c>
      <c r="J32" s="9" t="s">
        <v>157</v>
      </c>
      <c r="K32" s="9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 spans="1:25" ht="79.2" x14ac:dyDescent="0.25">
      <c r="A33" s="9" t="s">
        <v>45</v>
      </c>
      <c r="B33" s="9" t="s">
        <v>123</v>
      </c>
      <c r="C33" s="9" t="s">
        <v>125</v>
      </c>
      <c r="D33" s="9" t="s">
        <v>130</v>
      </c>
      <c r="E33" s="9" t="s">
        <v>23</v>
      </c>
      <c r="F33" s="9" t="s">
        <v>140</v>
      </c>
      <c r="G33" s="9" t="s">
        <v>146</v>
      </c>
      <c r="H33" s="9" t="s">
        <v>334</v>
      </c>
      <c r="I33" s="9" t="s">
        <v>1</v>
      </c>
      <c r="J33" s="9" t="s">
        <v>157</v>
      </c>
      <c r="K33" s="9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spans="1:25" ht="79.2" x14ac:dyDescent="0.25">
      <c r="A34" s="9" t="s">
        <v>46</v>
      </c>
      <c r="B34" s="9" t="s">
        <v>123</v>
      </c>
      <c r="C34" s="9" t="s">
        <v>125</v>
      </c>
      <c r="D34" s="9" t="s">
        <v>131</v>
      </c>
      <c r="E34" s="9" t="s">
        <v>23</v>
      </c>
      <c r="F34" s="9" t="s">
        <v>141</v>
      </c>
      <c r="G34" s="9" t="s">
        <v>145</v>
      </c>
      <c r="H34" s="9" t="s">
        <v>335</v>
      </c>
      <c r="I34" s="9" t="s">
        <v>1</v>
      </c>
      <c r="J34" s="9" t="s">
        <v>157</v>
      </c>
      <c r="K34" s="9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spans="1:25" ht="79.2" x14ac:dyDescent="0.25">
      <c r="A35" s="9" t="s">
        <v>47</v>
      </c>
      <c r="B35" s="9" t="s">
        <v>123</v>
      </c>
      <c r="C35" s="9" t="s">
        <v>126</v>
      </c>
      <c r="D35" s="9" t="s">
        <v>132</v>
      </c>
      <c r="E35" s="9" t="s">
        <v>23</v>
      </c>
      <c r="F35" s="9" t="s">
        <v>142</v>
      </c>
      <c r="G35" s="9" t="s">
        <v>150</v>
      </c>
      <c r="H35" s="9" t="s">
        <v>336</v>
      </c>
      <c r="I35" s="9" t="s">
        <v>1</v>
      </c>
      <c r="J35" s="9" t="s">
        <v>157</v>
      </c>
      <c r="K35" s="9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spans="1:25" ht="79.2" x14ac:dyDescent="0.25">
      <c r="A36" s="9" t="s">
        <v>48</v>
      </c>
      <c r="B36" s="9" t="s">
        <v>123</v>
      </c>
      <c r="C36" s="9" t="s">
        <v>126</v>
      </c>
      <c r="D36" s="9" t="s">
        <v>133</v>
      </c>
      <c r="E36" s="9" t="s">
        <v>23</v>
      </c>
      <c r="F36" s="9" t="s">
        <v>143</v>
      </c>
      <c r="G36" s="9" t="s">
        <v>151</v>
      </c>
      <c r="H36" s="9" t="s">
        <v>308</v>
      </c>
      <c r="I36" s="9" t="s">
        <v>3</v>
      </c>
      <c r="J36" s="9" t="s">
        <v>157</v>
      </c>
      <c r="K36" s="9" t="s">
        <v>307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spans="1:25" ht="79.2" x14ac:dyDescent="0.25">
      <c r="A37" s="9" t="s">
        <v>49</v>
      </c>
      <c r="B37" s="9" t="s">
        <v>123</v>
      </c>
      <c r="C37" s="9" t="s">
        <v>124</v>
      </c>
      <c r="D37" s="9" t="s">
        <v>134</v>
      </c>
      <c r="E37" s="9" t="s">
        <v>21</v>
      </c>
      <c r="F37" s="9" t="s">
        <v>144</v>
      </c>
      <c r="G37" s="9" t="s">
        <v>152</v>
      </c>
      <c r="H37" s="9" t="s">
        <v>337</v>
      </c>
      <c r="I37" s="9" t="s">
        <v>1</v>
      </c>
      <c r="J37" s="9" t="s">
        <v>157</v>
      </c>
      <c r="K37" s="9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 ht="26.4" x14ac:dyDescent="0.25">
      <c r="A38" s="9" t="s">
        <v>50</v>
      </c>
      <c r="B38" s="9" t="s">
        <v>123</v>
      </c>
      <c r="C38" s="9" t="s">
        <v>90</v>
      </c>
      <c r="D38" s="9" t="s">
        <v>135</v>
      </c>
      <c r="E38" s="9" t="s">
        <v>21</v>
      </c>
      <c r="F38" s="9" t="s">
        <v>76</v>
      </c>
      <c r="G38" s="9" t="s">
        <v>153</v>
      </c>
      <c r="H38" s="9" t="s">
        <v>154</v>
      </c>
      <c r="I38" s="9" t="s">
        <v>1</v>
      </c>
      <c r="J38" s="9" t="s">
        <v>157</v>
      </c>
      <c r="K38" s="9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ht="26.4" x14ac:dyDescent="0.25">
      <c r="A39" s="9" t="s">
        <v>122</v>
      </c>
      <c r="B39" s="9" t="s">
        <v>123</v>
      </c>
      <c r="C39" s="9" t="s">
        <v>91</v>
      </c>
      <c r="D39" s="9" t="s">
        <v>136</v>
      </c>
      <c r="E39" s="9" t="s">
        <v>21</v>
      </c>
      <c r="F39" s="9" t="s">
        <v>76</v>
      </c>
      <c r="G39" s="9" t="s">
        <v>153</v>
      </c>
      <c r="H39" s="9" t="s">
        <v>155</v>
      </c>
      <c r="I39" s="9" t="s">
        <v>1</v>
      </c>
      <c r="J39" s="11" t="s">
        <v>157</v>
      </c>
      <c r="K39" s="9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spans="1:25" ht="15.75" customHeight="1" x14ac:dyDescent="0.25">
      <c r="A40" s="19" t="s">
        <v>158</v>
      </c>
      <c r="B40" s="20"/>
      <c r="C40" s="20"/>
      <c r="D40" s="20"/>
      <c r="E40" s="20"/>
      <c r="F40" s="20"/>
      <c r="G40" s="20"/>
      <c r="H40" s="20"/>
      <c r="I40" s="20"/>
      <c r="J40" s="20"/>
      <c r="K40" s="21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spans="1:25" ht="26.4" x14ac:dyDescent="0.25">
      <c r="A41" s="9" t="s">
        <v>159</v>
      </c>
      <c r="B41" s="9" t="s">
        <v>169</v>
      </c>
      <c r="C41" s="9" t="s">
        <v>170</v>
      </c>
      <c r="D41" s="9" t="s">
        <v>176</v>
      </c>
      <c r="E41" s="9" t="s">
        <v>21</v>
      </c>
      <c r="F41" s="9" t="s">
        <v>76</v>
      </c>
      <c r="G41" s="9" t="s">
        <v>186</v>
      </c>
      <c r="H41" s="9" t="s">
        <v>192</v>
      </c>
      <c r="I41" s="9" t="s">
        <v>1</v>
      </c>
      <c r="J41" s="11" t="s">
        <v>198</v>
      </c>
      <c r="K41" s="9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spans="1:25" ht="39.6" x14ac:dyDescent="0.25">
      <c r="A42" s="9" t="s">
        <v>160</v>
      </c>
      <c r="B42" s="9" t="s">
        <v>169</v>
      </c>
      <c r="C42" s="9" t="s">
        <v>171</v>
      </c>
      <c r="D42" s="9" t="s">
        <v>177</v>
      </c>
      <c r="E42" s="9" t="s">
        <v>21</v>
      </c>
      <c r="F42" s="9" t="s">
        <v>185</v>
      </c>
      <c r="G42" s="9" t="s">
        <v>187</v>
      </c>
      <c r="H42" s="11" t="s">
        <v>306</v>
      </c>
      <c r="I42" s="9" t="s">
        <v>1</v>
      </c>
      <c r="J42" s="11" t="s">
        <v>198</v>
      </c>
      <c r="K42" s="9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 ht="39.6" x14ac:dyDescent="0.25">
      <c r="A43" s="9" t="s">
        <v>161</v>
      </c>
      <c r="B43" s="9" t="s">
        <v>169</v>
      </c>
      <c r="C43" s="9" t="s">
        <v>87</v>
      </c>
      <c r="D43" s="9" t="s">
        <v>178</v>
      </c>
      <c r="E43" s="9" t="s">
        <v>23</v>
      </c>
      <c r="F43" s="9" t="s">
        <v>76</v>
      </c>
      <c r="G43" s="9" t="s">
        <v>188</v>
      </c>
      <c r="H43" s="11" t="s">
        <v>193</v>
      </c>
      <c r="I43" s="9" t="s">
        <v>1</v>
      </c>
      <c r="J43" s="11" t="s">
        <v>198</v>
      </c>
      <c r="K43" s="9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 ht="66" x14ac:dyDescent="0.25">
      <c r="A44" s="9" t="s">
        <v>162</v>
      </c>
      <c r="B44" s="9" t="s">
        <v>169</v>
      </c>
      <c r="C44" s="9" t="s">
        <v>172</v>
      </c>
      <c r="D44" s="17" t="s">
        <v>312</v>
      </c>
      <c r="E44" s="9" t="s">
        <v>21</v>
      </c>
      <c r="F44" s="9" t="s">
        <v>76</v>
      </c>
      <c r="G44" s="9" t="s">
        <v>313</v>
      </c>
      <c r="H44" s="11" t="s">
        <v>306</v>
      </c>
      <c r="I44" s="9" t="s">
        <v>3</v>
      </c>
      <c r="J44" s="11" t="s">
        <v>198</v>
      </c>
      <c r="K44" s="9" t="s">
        <v>194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 ht="26.4" x14ac:dyDescent="0.25">
      <c r="A45" s="9" t="s">
        <v>163</v>
      </c>
      <c r="B45" s="9" t="s">
        <v>169</v>
      </c>
      <c r="C45" s="9" t="s">
        <v>172</v>
      </c>
      <c r="D45" s="9" t="s">
        <v>179</v>
      </c>
      <c r="E45" s="9" t="s">
        <v>21</v>
      </c>
      <c r="F45" s="9" t="s">
        <v>76</v>
      </c>
      <c r="G45" s="9" t="s">
        <v>189</v>
      </c>
      <c r="H45" s="11" t="s">
        <v>306</v>
      </c>
      <c r="I45" s="9" t="s">
        <v>1</v>
      </c>
      <c r="J45" s="11" t="s">
        <v>198</v>
      </c>
      <c r="K45" s="9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 ht="66" x14ac:dyDescent="0.25">
      <c r="A46" s="9" t="s">
        <v>164</v>
      </c>
      <c r="B46" s="9" t="s">
        <v>169</v>
      </c>
      <c r="C46" s="9" t="s">
        <v>172</v>
      </c>
      <c r="D46" s="9" t="s">
        <v>180</v>
      </c>
      <c r="E46" s="9" t="s">
        <v>21</v>
      </c>
      <c r="F46" s="9" t="s">
        <v>76</v>
      </c>
      <c r="G46" s="9" t="s">
        <v>190</v>
      </c>
      <c r="H46" s="11" t="s">
        <v>306</v>
      </c>
      <c r="I46" s="9" t="s">
        <v>3</v>
      </c>
      <c r="J46" s="11" t="s">
        <v>198</v>
      </c>
      <c r="K46" s="9" t="s">
        <v>195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 ht="39.6" x14ac:dyDescent="0.25">
      <c r="A47" s="9" t="s">
        <v>165</v>
      </c>
      <c r="B47" s="9" t="s">
        <v>169</v>
      </c>
      <c r="C47" s="9" t="s">
        <v>173</v>
      </c>
      <c r="D47" s="9" t="s">
        <v>181</v>
      </c>
      <c r="E47" s="9" t="s">
        <v>21</v>
      </c>
      <c r="F47" s="11" t="s">
        <v>196</v>
      </c>
      <c r="G47" s="9" t="s">
        <v>187</v>
      </c>
      <c r="H47" s="11" t="s">
        <v>306</v>
      </c>
      <c r="I47" s="9" t="s">
        <v>1</v>
      </c>
      <c r="J47" s="11" t="s">
        <v>198</v>
      </c>
      <c r="K47" s="9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 ht="39.6" x14ac:dyDescent="0.25">
      <c r="A48" s="9" t="s">
        <v>166</v>
      </c>
      <c r="B48" s="9" t="s">
        <v>169</v>
      </c>
      <c r="C48" s="9" t="s">
        <v>174</v>
      </c>
      <c r="D48" s="9" t="s">
        <v>182</v>
      </c>
      <c r="E48" s="9" t="s">
        <v>21</v>
      </c>
      <c r="F48" s="9" t="s">
        <v>185</v>
      </c>
      <c r="G48" s="9" t="s">
        <v>187</v>
      </c>
      <c r="H48" s="11" t="s">
        <v>306</v>
      </c>
      <c r="I48" s="9" t="s">
        <v>1</v>
      </c>
      <c r="J48" s="11" t="s">
        <v>198</v>
      </c>
      <c r="K48" s="9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 ht="26.4" x14ac:dyDescent="0.25">
      <c r="A49" s="9" t="s">
        <v>167</v>
      </c>
      <c r="B49" s="9" t="s">
        <v>169</v>
      </c>
      <c r="C49" s="9" t="s">
        <v>90</v>
      </c>
      <c r="D49" s="13" t="s">
        <v>183</v>
      </c>
      <c r="E49" s="9" t="s">
        <v>21</v>
      </c>
      <c r="F49" s="9" t="s">
        <v>76</v>
      </c>
      <c r="G49" s="9" t="s">
        <v>186</v>
      </c>
      <c r="H49" s="11" t="s">
        <v>197</v>
      </c>
      <c r="I49" s="9" t="s">
        <v>1</v>
      </c>
      <c r="J49" s="11" t="s">
        <v>198</v>
      </c>
      <c r="K49" s="9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 ht="26.4" x14ac:dyDescent="0.25">
      <c r="A50" s="9" t="s">
        <v>168</v>
      </c>
      <c r="B50" s="9" t="s">
        <v>169</v>
      </c>
      <c r="C50" s="9" t="s">
        <v>175</v>
      </c>
      <c r="D50" s="9" t="s">
        <v>184</v>
      </c>
      <c r="E50" s="9" t="s">
        <v>21</v>
      </c>
      <c r="F50" s="9" t="s">
        <v>76</v>
      </c>
      <c r="G50" s="9" t="s">
        <v>191</v>
      </c>
      <c r="H50" s="11" t="s">
        <v>305</v>
      </c>
      <c r="I50" s="9" t="s">
        <v>3</v>
      </c>
      <c r="J50" s="11" t="s">
        <v>198</v>
      </c>
      <c r="K50" s="9" t="s">
        <v>117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 ht="15.75" customHeight="1" x14ac:dyDescent="0.25">
      <c r="A51" s="19" t="s">
        <v>217</v>
      </c>
      <c r="B51" s="20"/>
      <c r="C51" s="20"/>
      <c r="D51" s="20"/>
      <c r="E51" s="20"/>
      <c r="F51" s="20"/>
      <c r="G51" s="20"/>
      <c r="H51" s="20"/>
      <c r="I51" s="20"/>
      <c r="J51" s="20"/>
      <c r="K51" s="21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 ht="26.4" x14ac:dyDescent="0.25">
      <c r="A52" s="11" t="s">
        <v>199</v>
      </c>
      <c r="B52" s="12" t="s">
        <v>208</v>
      </c>
      <c r="C52" s="11" t="s">
        <v>209</v>
      </c>
      <c r="D52" s="11" t="s">
        <v>219</v>
      </c>
      <c r="E52" s="9" t="s">
        <v>21</v>
      </c>
      <c r="F52" s="11" t="s">
        <v>228</v>
      </c>
      <c r="G52" s="11" t="s">
        <v>237</v>
      </c>
      <c r="H52" s="11" t="s">
        <v>243</v>
      </c>
      <c r="I52" s="9" t="s">
        <v>1</v>
      </c>
      <c r="J52" s="11" t="s">
        <v>298</v>
      </c>
      <c r="K52" s="9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 ht="15.75" customHeight="1" x14ac:dyDescent="0.25">
      <c r="A53" s="11" t="s">
        <v>200</v>
      </c>
      <c r="B53" s="12" t="s">
        <v>208</v>
      </c>
      <c r="C53" s="11" t="s">
        <v>210</v>
      </c>
      <c r="D53" s="11" t="s">
        <v>220</v>
      </c>
      <c r="E53" s="9" t="s">
        <v>21</v>
      </c>
      <c r="F53" s="11" t="s">
        <v>229</v>
      </c>
      <c r="G53" s="11" t="s">
        <v>238</v>
      </c>
      <c r="H53" s="11" t="s">
        <v>243</v>
      </c>
      <c r="I53" s="9" t="s">
        <v>1</v>
      </c>
      <c r="J53" s="11" t="s">
        <v>298</v>
      </c>
      <c r="K53" s="9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 ht="15.75" customHeight="1" x14ac:dyDescent="0.25">
      <c r="A54" s="11" t="s">
        <v>201</v>
      </c>
      <c r="B54" s="12" t="s">
        <v>208</v>
      </c>
      <c r="C54" s="11" t="s">
        <v>211</v>
      </c>
      <c r="D54" s="11" t="s">
        <v>221</v>
      </c>
      <c r="E54" s="9" t="s">
        <v>21</v>
      </c>
      <c r="F54" s="11" t="s">
        <v>230</v>
      </c>
      <c r="G54" s="11" t="s">
        <v>239</v>
      </c>
      <c r="H54" s="11" t="s">
        <v>243</v>
      </c>
      <c r="I54" s="9" t="s">
        <v>1</v>
      </c>
      <c r="J54" s="11" t="s">
        <v>298</v>
      </c>
      <c r="K54" s="9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 ht="15.75" customHeight="1" x14ac:dyDescent="0.25">
      <c r="A55" s="11" t="s">
        <v>202</v>
      </c>
      <c r="B55" s="12" t="s">
        <v>208</v>
      </c>
      <c r="C55" s="11" t="s">
        <v>212</v>
      </c>
      <c r="D55" s="11" t="s">
        <v>222</v>
      </c>
      <c r="E55" s="9" t="s">
        <v>21</v>
      </c>
      <c r="F55" s="11" t="s">
        <v>231</v>
      </c>
      <c r="G55" s="11" t="s">
        <v>240</v>
      </c>
      <c r="H55" s="11" t="s">
        <v>243</v>
      </c>
      <c r="I55" s="9" t="s">
        <v>1</v>
      </c>
      <c r="J55" s="11" t="s">
        <v>298</v>
      </c>
      <c r="K55" s="9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 ht="15.75" customHeight="1" x14ac:dyDescent="0.25">
      <c r="A56" s="11" t="s">
        <v>203</v>
      </c>
      <c r="B56" s="12" t="s">
        <v>208</v>
      </c>
      <c r="C56" s="11" t="s">
        <v>213</v>
      </c>
      <c r="D56" s="11" t="s">
        <v>223</v>
      </c>
      <c r="E56" s="9" t="s">
        <v>21</v>
      </c>
      <c r="F56" s="11" t="s">
        <v>232</v>
      </c>
      <c r="G56" s="11" t="s">
        <v>238</v>
      </c>
      <c r="H56" s="11" t="s">
        <v>243</v>
      </c>
      <c r="I56" s="9" t="s">
        <v>1</v>
      </c>
      <c r="J56" s="11" t="s">
        <v>298</v>
      </c>
      <c r="K56" s="9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 ht="15.75" customHeight="1" x14ac:dyDescent="0.25">
      <c r="A57" s="11" t="s">
        <v>204</v>
      </c>
      <c r="B57" s="12" t="s">
        <v>208</v>
      </c>
      <c r="C57" s="11" t="s">
        <v>214</v>
      </c>
      <c r="D57" s="11" t="s">
        <v>224</v>
      </c>
      <c r="E57" s="9" t="s">
        <v>21</v>
      </c>
      <c r="F57" s="11" t="s">
        <v>233</v>
      </c>
      <c r="G57" s="11" t="s">
        <v>241</v>
      </c>
      <c r="H57" s="11" t="s">
        <v>243</v>
      </c>
      <c r="I57" s="9" t="s">
        <v>1</v>
      </c>
      <c r="J57" s="11" t="s">
        <v>298</v>
      </c>
      <c r="K57" s="9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 ht="31.8" customHeight="1" x14ac:dyDescent="0.25">
      <c r="A58" s="11" t="s">
        <v>205</v>
      </c>
      <c r="B58" s="12" t="s">
        <v>208</v>
      </c>
      <c r="C58" s="11" t="s">
        <v>215</v>
      </c>
      <c r="D58" s="11" t="s">
        <v>225</v>
      </c>
      <c r="E58" s="9" t="s">
        <v>21</v>
      </c>
      <c r="F58" s="11" t="s">
        <v>236</v>
      </c>
      <c r="G58" s="11" t="s">
        <v>309</v>
      </c>
      <c r="H58" s="11" t="s">
        <v>244</v>
      </c>
      <c r="I58" s="9" t="s">
        <v>1</v>
      </c>
      <c r="J58" s="11" t="s">
        <v>298</v>
      </c>
      <c r="K58" s="9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 ht="30" customHeight="1" x14ac:dyDescent="0.25">
      <c r="A59" s="11" t="s">
        <v>206</v>
      </c>
      <c r="B59" s="12" t="s">
        <v>208</v>
      </c>
      <c r="C59" s="11" t="s">
        <v>216</v>
      </c>
      <c r="D59" s="11" t="s">
        <v>226</v>
      </c>
      <c r="E59" s="9" t="s">
        <v>23</v>
      </c>
      <c r="F59" s="11" t="s">
        <v>234</v>
      </c>
      <c r="G59" s="11" t="s">
        <v>310</v>
      </c>
      <c r="H59" s="11" t="s">
        <v>297</v>
      </c>
      <c r="I59" s="9" t="s">
        <v>1</v>
      </c>
      <c r="J59" s="11" t="s">
        <v>298</v>
      </c>
      <c r="K59" s="9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 ht="48.6" customHeight="1" x14ac:dyDescent="0.25">
      <c r="A60" s="11" t="s">
        <v>207</v>
      </c>
      <c r="B60" s="12" t="s">
        <v>208</v>
      </c>
      <c r="C60" s="11" t="s">
        <v>218</v>
      </c>
      <c r="D60" s="11" t="s">
        <v>227</v>
      </c>
      <c r="E60" s="9" t="s">
        <v>23</v>
      </c>
      <c r="F60" s="11" t="s">
        <v>235</v>
      </c>
      <c r="G60" s="11" t="s">
        <v>242</v>
      </c>
      <c r="H60" s="11" t="s">
        <v>304</v>
      </c>
      <c r="I60" s="9" t="s">
        <v>3</v>
      </c>
      <c r="J60" s="11" t="s">
        <v>298</v>
      </c>
      <c r="K60" s="9" t="s">
        <v>303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 ht="15.75" customHeight="1" x14ac:dyDescent="0.25">
      <c r="A61" s="19" t="s">
        <v>314</v>
      </c>
      <c r="B61" s="20"/>
      <c r="C61" s="20"/>
      <c r="D61" s="20"/>
      <c r="E61" s="20"/>
      <c r="F61" s="20"/>
      <c r="G61" s="20"/>
      <c r="H61" s="20"/>
      <c r="I61" s="20"/>
      <c r="J61" s="20"/>
      <c r="K61" s="21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 ht="26.4" x14ac:dyDescent="0.25">
      <c r="A62" s="11" t="s">
        <v>245</v>
      </c>
      <c r="B62" s="11" t="s">
        <v>315</v>
      </c>
      <c r="C62" s="11" t="s">
        <v>250</v>
      </c>
      <c r="D62" s="11" t="s">
        <v>255</v>
      </c>
      <c r="E62" s="9" t="s">
        <v>21</v>
      </c>
      <c r="F62" s="11" t="s">
        <v>114</v>
      </c>
      <c r="G62" s="11" t="s">
        <v>263</v>
      </c>
      <c r="H62" s="11" t="s">
        <v>267</v>
      </c>
      <c r="I62" s="9" t="s">
        <v>1</v>
      </c>
      <c r="J62" s="11" t="s">
        <v>299</v>
      </c>
      <c r="K62" s="9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 ht="15.75" customHeight="1" x14ac:dyDescent="0.25">
      <c r="A63" s="11" t="s">
        <v>246</v>
      </c>
      <c r="B63" s="11" t="s">
        <v>315</v>
      </c>
      <c r="C63" s="11" t="s">
        <v>251</v>
      </c>
      <c r="D63" s="11" t="s">
        <v>256</v>
      </c>
      <c r="E63" s="9" t="s">
        <v>21</v>
      </c>
      <c r="F63" s="11" t="s">
        <v>260</v>
      </c>
      <c r="G63" s="11" t="s">
        <v>264</v>
      </c>
      <c r="H63" s="11" t="s">
        <v>268</v>
      </c>
      <c r="I63" s="9" t="s">
        <v>1</v>
      </c>
      <c r="J63" s="11" t="s">
        <v>299</v>
      </c>
      <c r="K63" s="9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 ht="15.75" customHeight="1" x14ac:dyDescent="0.25">
      <c r="A64" s="11" t="s">
        <v>247</v>
      </c>
      <c r="B64" s="11" t="s">
        <v>315</v>
      </c>
      <c r="C64" s="11" t="s">
        <v>252</v>
      </c>
      <c r="D64" s="11" t="s">
        <v>257</v>
      </c>
      <c r="E64" s="9" t="s">
        <v>21</v>
      </c>
      <c r="F64" s="11" t="s">
        <v>261</v>
      </c>
      <c r="G64" s="11" t="s">
        <v>265</v>
      </c>
      <c r="H64" s="11" t="s">
        <v>269</v>
      </c>
      <c r="I64" s="9" t="s">
        <v>1</v>
      </c>
      <c r="J64" s="11" t="s">
        <v>299</v>
      </c>
      <c r="K64" s="9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 ht="15.75" customHeight="1" x14ac:dyDescent="0.25">
      <c r="A65" s="11" t="s">
        <v>248</v>
      </c>
      <c r="B65" s="11" t="s">
        <v>315</v>
      </c>
      <c r="C65" s="11" t="s">
        <v>253</v>
      </c>
      <c r="D65" s="11" t="s">
        <v>258</v>
      </c>
      <c r="E65" s="9" t="s">
        <v>23</v>
      </c>
      <c r="F65" s="11" t="s">
        <v>262</v>
      </c>
      <c r="G65" s="11" t="s">
        <v>266</v>
      </c>
      <c r="H65" s="11" t="s">
        <v>296</v>
      </c>
      <c r="I65" s="9" t="s">
        <v>1</v>
      </c>
      <c r="J65" s="11" t="s">
        <v>299</v>
      </c>
      <c r="K65" s="9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 ht="15.75" customHeight="1" x14ac:dyDescent="0.25">
      <c r="A66" s="11" t="s">
        <v>249</v>
      </c>
      <c r="B66" s="11" t="s">
        <v>315</v>
      </c>
      <c r="C66" s="11" t="s">
        <v>254</v>
      </c>
      <c r="D66" s="11" t="s">
        <v>259</v>
      </c>
      <c r="E66" s="9" t="s">
        <v>23</v>
      </c>
      <c r="F66" s="11" t="s">
        <v>76</v>
      </c>
      <c r="G66" s="11" t="s">
        <v>265</v>
      </c>
      <c r="H66" s="11" t="s">
        <v>296</v>
      </c>
      <c r="I66" s="9" t="s">
        <v>1</v>
      </c>
      <c r="J66" s="11" t="s">
        <v>299</v>
      </c>
      <c r="K66" s="9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 ht="15.75" customHeight="1" x14ac:dyDescent="0.25">
      <c r="A67" s="19" t="s">
        <v>272</v>
      </c>
      <c r="B67" s="20"/>
      <c r="C67" s="20"/>
      <c r="D67" s="20"/>
      <c r="E67" s="20"/>
      <c r="F67" s="20"/>
      <c r="G67" s="20"/>
      <c r="H67" s="20"/>
      <c r="I67" s="20"/>
      <c r="J67" s="20"/>
      <c r="K67" s="21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 ht="15.75" customHeight="1" x14ac:dyDescent="0.25">
      <c r="A68" s="11" t="s">
        <v>270</v>
      </c>
      <c r="B68" s="11" t="s">
        <v>293</v>
      </c>
      <c r="C68" s="11" t="s">
        <v>274</v>
      </c>
      <c r="D68" s="11" t="s">
        <v>276</v>
      </c>
      <c r="E68" s="9" t="s">
        <v>21</v>
      </c>
      <c r="F68" s="11" t="s">
        <v>278</v>
      </c>
      <c r="G68" s="11" t="s">
        <v>294</v>
      </c>
      <c r="H68" s="11" t="s">
        <v>279</v>
      </c>
      <c r="I68" s="9" t="s">
        <v>1</v>
      </c>
      <c r="J68" s="11" t="s">
        <v>300</v>
      </c>
      <c r="K68" s="9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 ht="31.2" customHeight="1" x14ac:dyDescent="0.25">
      <c r="A69" s="11" t="s">
        <v>271</v>
      </c>
      <c r="B69" s="11" t="s">
        <v>273</v>
      </c>
      <c r="C69" s="11" t="s">
        <v>275</v>
      </c>
      <c r="D69" s="11" t="s">
        <v>277</v>
      </c>
      <c r="E69" s="9" t="s">
        <v>21</v>
      </c>
      <c r="F69" s="11" t="s">
        <v>114</v>
      </c>
      <c r="G69" s="11" t="s">
        <v>295</v>
      </c>
      <c r="H69" s="11" t="s">
        <v>301</v>
      </c>
      <c r="I69" s="9" t="s">
        <v>3</v>
      </c>
      <c r="J69" s="11" t="s">
        <v>300</v>
      </c>
      <c r="K69" s="9" t="s">
        <v>302</v>
      </c>
    </row>
    <row r="70" spans="1:25" ht="15.75" customHeight="1" x14ac:dyDescent="0.25">
      <c r="A70" s="19" t="s">
        <v>280</v>
      </c>
      <c r="B70" s="20"/>
      <c r="C70" s="20"/>
      <c r="D70" s="20"/>
      <c r="E70" s="20"/>
      <c r="F70" s="20"/>
      <c r="G70" s="20"/>
      <c r="H70" s="20"/>
      <c r="I70" s="20"/>
      <c r="J70" s="20"/>
      <c r="K70" s="21"/>
    </row>
    <row r="71" spans="1:25" ht="15.75" customHeight="1" x14ac:dyDescent="0.25">
      <c r="A71" s="11" t="s">
        <v>281</v>
      </c>
      <c r="B71" s="11" t="s">
        <v>283</v>
      </c>
      <c r="C71" s="12" t="s">
        <v>284</v>
      </c>
      <c r="D71" s="11" t="s">
        <v>285</v>
      </c>
      <c r="E71" s="9" t="s">
        <v>21</v>
      </c>
      <c r="F71" s="11" t="s">
        <v>287</v>
      </c>
      <c r="G71" s="11" t="s">
        <v>289</v>
      </c>
      <c r="H71" s="11" t="s">
        <v>291</v>
      </c>
      <c r="I71" s="9" t="s">
        <v>1</v>
      </c>
      <c r="J71" s="11" t="s">
        <v>292</v>
      </c>
      <c r="K71" s="9"/>
    </row>
    <row r="72" spans="1:25" ht="15.75" customHeight="1" x14ac:dyDescent="0.25">
      <c r="A72" s="11" t="s">
        <v>282</v>
      </c>
      <c r="B72" s="11" t="s">
        <v>283</v>
      </c>
      <c r="C72" s="18" t="s">
        <v>62</v>
      </c>
      <c r="D72" s="11" t="s">
        <v>286</v>
      </c>
      <c r="E72" s="9" t="s">
        <v>21</v>
      </c>
      <c r="F72" s="11" t="s">
        <v>287</v>
      </c>
      <c r="G72" s="11" t="s">
        <v>288</v>
      </c>
      <c r="H72" s="11" t="s">
        <v>290</v>
      </c>
      <c r="I72" s="9" t="s">
        <v>1</v>
      </c>
      <c r="J72" s="11" t="s">
        <v>292</v>
      </c>
      <c r="K72" s="9"/>
    </row>
    <row r="73" spans="1:25" ht="15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25" ht="15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25" ht="15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25" ht="15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25" ht="15.75" customHeight="1" x14ac:dyDescent="0.25">
      <c r="A77" s="8"/>
    </row>
    <row r="78" spans="1:25" ht="15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25" ht="15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spans="1:25" ht="15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spans="1:10" ht="15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spans="1:10" ht="15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0" ht="15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0" ht="15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0" ht="15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spans="1:10" ht="15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spans="1:10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spans="1:10" ht="15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 ht="15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0" ht="15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0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0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0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0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0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0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0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0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0" ht="15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0" ht="15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0" ht="15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0" ht="15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spans="1:10" ht="15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spans="1:10" ht="15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spans="1:10" ht="15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spans="1:10" ht="15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spans="1:10" ht="15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spans="1:10" ht="15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spans="1:10" ht="15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spans="1:10" ht="15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spans="1:10" ht="15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spans="1:10" ht="15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spans="1:10" ht="15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 ht="15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 ht="15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 ht="15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 ht="15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 ht="15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 ht="15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 ht="15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 ht="15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 ht="15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 ht="15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 ht="15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 ht="15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 ht="15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0" ht="15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spans="1:10" ht="15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spans="1:10" ht="15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spans="1:10" ht="15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spans="1:10" ht="15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spans="1:10" ht="15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spans="1:10" ht="15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spans="1:10" ht="15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spans="1:10" ht="15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spans="1:10" ht="15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spans="1:10" ht="15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spans="1:10" ht="15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ht="15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spans="1:10" ht="15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spans="1:10" ht="15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spans="1:10" ht="15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spans="1:10" ht="15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spans="1:10" ht="15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spans="1:10" ht="15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spans="1:10" ht="15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spans="1:10" ht="15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spans="1:10" ht="15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spans="1:10" ht="15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spans="1:10" ht="15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spans="1:10" ht="15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spans="1:10" ht="15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spans="1:10" ht="15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spans="1:10" ht="15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spans="1:10" ht="15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spans="1:10" ht="15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spans="1:10" ht="15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spans="1:10" ht="15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spans="1:10" ht="15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spans="1:10" ht="15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spans="1:10" ht="15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spans="1:10" ht="15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spans="1:10" ht="15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spans="1:10" ht="15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spans="1:10" ht="15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spans="1:10" ht="15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spans="1:10" ht="15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spans="1:10" ht="15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spans="1:10" ht="15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spans="1:10" ht="15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spans="1:10" ht="15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spans="1:10" ht="15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spans="1:10" ht="15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spans="1:10" ht="15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spans="1:10" ht="15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spans="1:10" ht="15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spans="1:10" ht="15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spans="1:10" ht="15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spans="1:10" ht="15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spans="1:10" ht="15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spans="1:10" ht="15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spans="1:10" ht="15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spans="1:10" ht="15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spans="1:10" ht="15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spans="1:10" ht="15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spans="1:10" ht="15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spans="1:10" ht="15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spans="1:10" ht="15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spans="1:10" ht="15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spans="1:10" ht="15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spans="1:10" ht="15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spans="1:10" ht="15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spans="1:10" ht="15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spans="1:10" ht="15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spans="1:10" ht="15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spans="1:10" ht="15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spans="1:10" ht="15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spans="1:10" ht="15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spans="1:10" ht="15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spans="1:10" ht="15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spans="1:10" ht="15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spans="1:10" ht="15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spans="1:10" ht="15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spans="1:10" ht="15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spans="1:10" ht="15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spans="1:10" ht="15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spans="1:10" ht="15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spans="1:10" ht="15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spans="1:10" ht="15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spans="1:10" ht="15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spans="1:10" ht="15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spans="1:10" ht="15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spans="1:10" ht="15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spans="1:10" ht="15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spans="1:10" ht="15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spans="1:10" ht="15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spans="1:10" ht="15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spans="1:10" ht="15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spans="1:10" ht="15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spans="1:10" ht="15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spans="1:10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spans="1:10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spans="1:10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spans="1:10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spans="1:10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spans="1:10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spans="1:10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spans="1:10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spans="1:10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spans="1:10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spans="1:10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spans="1:10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spans="1:10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spans="1:10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spans="1:10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spans="1:10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spans="1:10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spans="1:10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spans="1:10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spans="1:10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spans="1:10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spans="1:10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spans="1:10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spans="1:10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spans="1:10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spans="1:10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spans="1:10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spans="1:10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spans="1:10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spans="1:10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spans="1:10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spans="1:10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spans="1:10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spans="1:10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spans="1:10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spans="1:10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spans="1:10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spans="1:10" ht="15.75" customHeight="1" x14ac:dyDescent="0.25"/>
    <row r="261" spans="1:10" ht="15.75" customHeight="1" x14ac:dyDescent="0.25"/>
    <row r="262" spans="1:10" ht="15.75" customHeight="1" x14ac:dyDescent="0.25"/>
    <row r="263" spans="1:10" ht="15.75" customHeight="1" x14ac:dyDescent="0.25"/>
    <row r="264" spans="1:10" ht="15.75" customHeight="1" x14ac:dyDescent="0.25"/>
    <row r="265" spans="1:10" ht="15.75" customHeight="1" x14ac:dyDescent="0.25"/>
    <row r="266" spans="1:10" ht="15.75" customHeight="1" x14ac:dyDescent="0.25"/>
    <row r="267" spans="1:10" ht="15.75" customHeight="1" x14ac:dyDescent="0.25"/>
    <row r="268" spans="1:10" ht="15.75" customHeight="1" x14ac:dyDescent="0.25"/>
    <row r="269" spans="1:10" ht="15.75" customHeight="1" x14ac:dyDescent="0.25"/>
    <row r="270" spans="1:10" ht="15.75" customHeight="1" x14ac:dyDescent="0.25"/>
    <row r="271" spans="1:10" ht="15.75" customHeight="1" x14ac:dyDescent="0.25"/>
    <row r="272" spans="1:10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</sheetData>
  <mergeCells count="8">
    <mergeCell ref="A61:K61"/>
    <mergeCell ref="A67:K67"/>
    <mergeCell ref="A70:K70"/>
    <mergeCell ref="A7:K7"/>
    <mergeCell ref="A18:K18"/>
    <mergeCell ref="A29:K29"/>
    <mergeCell ref="A40:K40"/>
    <mergeCell ref="A51:K51"/>
  </mergeCells>
  <phoneticPr fontId="8" type="noConversion"/>
  <dataValidations count="2">
    <dataValidation type="list" allowBlank="1" showErrorMessage="1" sqref="I62:I72 I52:I60 I41:I50 I30:I39 I19:I28 I8:I17" xr:uid="{00000000-0002-0000-0000-000000000000}">
      <formula1>"Fail,Pass"</formula1>
    </dataValidation>
    <dataValidation type="list" allowBlank="1" showErrorMessage="1" sqref="E62:E72 E52:E60 E41:E50 E30:E39 E19:E28 E8:E17" xr:uid="{00000000-0002-0000-0000-000001000000}">
      <formula1>"P,N"</formula1>
    </dataValidation>
  </dataValidations>
  <hyperlinks>
    <hyperlink ref="B4" r:id="rId1" xr:uid="{00000000-0004-0000-0000-000000000000}"/>
  </hyperlinks>
  <pageMargins left="0.7" right="0.7" top="0.75" bottom="0.75" header="0" footer="0"/>
  <pageSetup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c96f2b3-a1b9-45a7-b89c-bc80104687f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2A8321CC75D044B96C9EEFD8B06088" ma:contentTypeVersion="6" ma:contentTypeDescription="Create a new document." ma:contentTypeScope="" ma:versionID="ba81e354592e90e1d7960bbb8d446e23">
  <xsd:schema xmlns:xsd="http://www.w3.org/2001/XMLSchema" xmlns:xs="http://www.w3.org/2001/XMLSchema" xmlns:p="http://schemas.microsoft.com/office/2006/metadata/properties" xmlns:ns3="4c96f2b3-a1b9-45a7-b89c-bc80104687f0" targetNamespace="http://schemas.microsoft.com/office/2006/metadata/properties" ma:root="true" ma:fieldsID="2feb45f40ead9e03455b7f1e02c53e2c" ns3:_="">
    <xsd:import namespace="4c96f2b3-a1b9-45a7-b89c-bc80104687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6f2b3-a1b9-45a7-b89c-bc80104687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33AB2B-395D-4983-9B83-E02FC4B422A3}">
  <ds:schemaRefs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4c96f2b3-a1b9-45a7-b89c-bc80104687f0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24A5292-108B-4CAC-9CC2-5DD50CDFFA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44DB9C-3D57-407A-869B-46E2C7E5F2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6f2b3-a1b9-45a7-b89c-bc80104687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Thanaporn JAITHAM</cp:lastModifiedBy>
  <cp:lastPrinted>2026-03-13T22:02:05Z</cp:lastPrinted>
  <dcterms:created xsi:type="dcterms:W3CDTF">2026-03-13T22:01:36Z</dcterms:created>
  <dcterms:modified xsi:type="dcterms:W3CDTF">2026-03-25T18:50:02Z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0x010100A02A8321CC75D044B96C9EEFD8B06088</vt:lpwstr>
  </property>
</Properties>
</file>